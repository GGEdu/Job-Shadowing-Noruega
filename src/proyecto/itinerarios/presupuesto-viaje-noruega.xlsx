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Parámetros" sheetId="2" state="visible" r:id="rId2"/>
    <sheet name="Resumen" sheetId="3" state="visible" r:id="rId3"/>
  </sheets>
  <definedNames>
    <definedName name="_xlnm._FilterDatabase" localSheetId="0" hidden="1">'Presupuesto'!$A$1:$P$39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-#,##0.00;&quot;Gratis&quot;"/>
    <numFmt numFmtId="165" formatCode="yyyy-mm-dd h:mm:ss"/>
    <numFmt numFmtId="166" formatCode="dd/mm/yyyy"/>
    <numFmt numFmtId="167" formatCode="0.0000"/>
    <numFmt numFmtId="168" formatCode="+#,##0.00;-#,##0.00;0.0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563C1"/>
      <sz val="10"/>
      <u val="single"/>
    </font>
    <font>
      <name val="Arial"/>
      <b val="1"/>
      <i val="1"/>
      <color rgb="007F7F7F"/>
      <sz val="10"/>
    </font>
    <font>
      <name val="Arial"/>
      <i val="1"/>
      <color rgb="007F7F7F"/>
      <sz val="10"/>
    </font>
    <font>
      <name val="Arial"/>
      <b val="1"/>
      <sz val="12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AF1FB"/>
      </patternFill>
    </fill>
    <fill>
      <patternFill patternType="solid">
        <fgColor rgb="00EAF6EC"/>
      </patternFill>
    </fill>
    <fill>
      <patternFill patternType="solid">
        <fgColor rgb="00FDF3E7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166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166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164" fontId="6" fillId="3" borderId="1" applyAlignment="1" pivotButton="0" quotePrefix="0" xfId="0">
      <alignment vertical="top"/>
    </xf>
    <xf numFmtId="4" fontId="6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166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/>
    </xf>
    <xf numFmtId="4" fontId="2" fillId="4" borderId="1" applyAlignment="1" pivotButton="0" quotePrefix="0" xfId="0">
      <alignment vertical="top"/>
    </xf>
    <xf numFmtId="164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166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/>
    </xf>
    <xf numFmtId="4" fontId="6" fillId="4" borderId="1" applyAlignment="1" pivotButton="0" quotePrefix="0" xfId="0">
      <alignment vertical="top"/>
    </xf>
    <xf numFmtId="0" fontId="1" fillId="5" borderId="1" applyAlignment="1" pivotButton="0" quotePrefix="0" xfId="0">
      <alignment vertical="top"/>
    </xf>
    <xf numFmtId="166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/>
    </xf>
    <xf numFmtId="164" fontId="3" fillId="5" borderId="1" applyAlignment="1" pivotButton="0" quotePrefix="0" xfId="0">
      <alignment vertical="top"/>
    </xf>
    <xf numFmtId="164" fontId="2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166" fontId="6" fillId="5" borderId="1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/>
    </xf>
    <xf numFmtId="4" fontId="6" fillId="5" borderId="1" applyAlignment="1" pivotButton="0" quotePrefix="0" xfId="0">
      <alignment vertical="top"/>
    </xf>
    <xf numFmtId="0" fontId="1" fillId="6" borderId="1" pivotButton="0" quotePrefix="0" xfId="0"/>
    <xf numFmtId="0" fontId="0" fillId="6" borderId="1" pivotButton="0" quotePrefix="0" xfId="0"/>
    <xf numFmtId="0" fontId="2" fillId="6" borderId="1" pivotButton="0" quotePrefix="0" xfId="0"/>
    <xf numFmtId="4" fontId="1" fillId="6" borderId="1" pivotButton="0" quotePrefix="0" xfId="0"/>
    <xf numFmtId="0" fontId="7" fillId="0" borderId="0" pivotButton="0" quotePrefix="0" xfId="0"/>
    <xf numFmtId="167" fontId="3" fillId="7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6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168" fontId="8" fillId="0" borderId="1" pivotButton="0" quotePrefix="0" xfId="0"/>
    <xf numFmtId="168" fontId="2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L1" authorId="0" shapeId="0">
      <text>
        <t>Precio por persona en coronas noruegas (texto azul = dato editable). Los costes por persona en € se calculan con el tipo de cambio de la hoja Parámetros.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y.no/en" TargetMode="External" Id="rId1" /><Relationship Type="http://schemas.openxmlformats.org/officeDocument/2006/relationships/hyperlink" Target="https://www.oslo-spirit.com/de/reisefuehrer/flytoget-vs-zug/" TargetMode="External" Id="rId2" /><Relationship Type="http://schemas.openxmlformats.org/officeDocument/2006/relationships/hyperlink" Target="https://flytoget.no/en/" TargetMode="External" Id="rId3" /><Relationship Type="http://schemas.openxmlformats.org/officeDocument/2006/relationships/hyperlink" Target="https://www.oslo-spirit.com/de/reisefuehrer/flytoget-vs-zug/" TargetMode="External" Id="rId4" /><Relationship Type="http://schemas.openxmlformats.org/officeDocument/2006/relationships/hyperlink" Target="https://www.flybussen.no/en" TargetMode="External" Id="rId5" /><Relationship Type="http://schemas.openxmlformats.org/officeDocument/2006/relationships/hyperlink" Target="https://www.oslo-spirit.com/de/reisefuehrer/flytoget-vs-zug/" TargetMode="External" Id="rId6" /><Relationship Type="http://schemas.openxmlformats.org/officeDocument/2006/relationships/hyperlink" Target="https://luggagehero.com/oslo/oslo-central-station/" TargetMode="External" Id="rId7" /><Relationship Type="http://schemas.openxmlformats.org/officeDocument/2006/relationships/hyperlink" Target="https://luggagehero.com/oslo/oslo-central-station/" TargetMode="External" Id="rId8" /><Relationship Type="http://schemas.openxmlformats.org/officeDocument/2006/relationships/hyperlink" Target="https://www.oslo-spirit.com/guides/oslo-daily-costs/" TargetMode="External" Id="rId9" /><Relationship Type="http://schemas.openxmlformats.org/officeDocument/2006/relationships/hyperlink" Target="https://operaen.no/en/" TargetMode="External" Id="rId10" /><Relationship Type="http://schemas.openxmlformats.org/officeDocument/2006/relationships/hyperlink" Target="https://www.oslo-spirit.com/guides/oslo-daily-costs/" TargetMode="External" Id="rId11" /><Relationship Type="http://schemas.openxmlformats.org/officeDocument/2006/relationships/hyperlink" Target="https://munch.no/en/buy-tickets/" TargetMode="External" Id="rId12" /><Relationship Type="http://schemas.openxmlformats.org/officeDocument/2006/relationships/hyperlink" Target="https://www.munch.no/en/visit-us/opening-hours/" TargetMode="External" Id="rId13" /><Relationship Type="http://schemas.openxmlformats.org/officeDocument/2006/relationships/hyperlink" Target="https://www.oslo-spirit.com/guides/oslo-daily-costs/" TargetMode="External" Id="rId14" /><Relationship Type="http://schemas.openxmlformats.org/officeDocument/2006/relationships/hyperlink" Target="https://www.swpc.noaa.gov/products/aurora-30-minute-forecast" TargetMode="External" Id="rId15" /><Relationship Type="http://schemas.openxmlformats.org/officeDocument/2006/relationships/hyperlink" Target="https://brimexplorer.com/tours/silent-oslo-fjord-cruise" TargetMode="External" Id="rId16" /><Relationship Type="http://schemas.openxmlformats.org/officeDocument/2006/relationships/hyperlink" Target="https://brimexplorer.com/tours/silent-oslo-fjord-cruise" TargetMode="External" Id="rId17" /><Relationship Type="http://schemas.openxmlformats.org/officeDocument/2006/relationships/hyperlink" Target="https://ruter.no/en" TargetMode="External" Id="rId18" /><Relationship Type="http://schemas.openxmlformats.org/officeDocument/2006/relationships/hyperlink" Target="https://ruter.no/nyheter/alt-om-billettpriser" TargetMode="External" Id="rId19" /><Relationship Type="http://schemas.openxmlformats.org/officeDocument/2006/relationships/hyperlink" Target="https://munch.no/en/buy-tickets/" TargetMode="External" Id="rId20" /><Relationship Type="http://schemas.openxmlformats.org/officeDocument/2006/relationships/hyperlink" Target="https://www.munch.no/en/visit-us/opening-hours/" TargetMode="External" Id="rId21" /><Relationship Type="http://schemas.openxmlformats.org/officeDocument/2006/relationships/hyperlink" Target="https://www.oslo-spirit.com/guides/oslo-daily-costs/" TargetMode="External" Id="rId22" /><Relationship Type="http://schemas.openxmlformats.org/officeDocument/2006/relationships/hyperlink" Target="https://www.oslo.kommune.no/english/oslo-city-hall/opening-hours/" TargetMode="External" Id="rId23" /><Relationship Type="http://schemas.openxmlformats.org/officeDocument/2006/relationships/hyperlink" Target="https://www.oslo.kommune.no/radhuset/radhusets-apningstider/" TargetMode="External" Id="rId24" /><Relationship Type="http://schemas.openxmlformats.org/officeDocument/2006/relationships/hyperlink" Target="https://forsvarsbygg.no/no/festningene/akershus-festning/akershus-fortress/practical-information" TargetMode="External" Id="rId25" /><Relationship Type="http://schemas.openxmlformats.org/officeDocument/2006/relationships/hyperlink" Target="https://forsvarsbygg.no/no/festningene/akershus-festning/akershus-fortress/practical-information" TargetMode="External" Id="rId26" /><Relationship Type="http://schemas.openxmlformats.org/officeDocument/2006/relationships/hyperlink" Target="https://www.oslo-spirit.com/guides/oslo-daily-costs/" TargetMode="External" Id="rId27" /><Relationship Type="http://schemas.openxmlformats.org/officeDocument/2006/relationships/hyperlink" Target="https://www.oslo-spirit.com/guides/oslo-daily-costs/" TargetMode="External" Id="rId28" /><Relationship Type="http://schemas.openxmlformats.org/officeDocument/2006/relationships/hyperlink" Target="https://www.swpc.noaa.gov/products/aurora-30-minute-forecast" TargetMode="External" Id="rId29" /><Relationship Type="http://schemas.openxmlformats.org/officeDocument/2006/relationships/hyperlink" Target="https://ruter.no/nyheter/alt-om-billettpriser" TargetMode="External" Id="rId30" /><Relationship Type="http://schemas.openxmlformats.org/officeDocument/2006/relationships/hyperlink" Target="https://luggagehero.com/oslo/oslo-central-station/" TargetMode="External" Id="rId31" /><Relationship Type="http://schemas.openxmlformats.org/officeDocument/2006/relationships/hyperlink" Target="https://thehiddennorth.com/where-to-store-luggage-in-norway/" TargetMode="External" Id="rId32" /><Relationship Type="http://schemas.openxmlformats.org/officeDocument/2006/relationships/hyperlink" Target="https://ruter.no/en" TargetMode="External" Id="rId33" /><Relationship Type="http://schemas.openxmlformats.org/officeDocument/2006/relationships/hyperlink" Target="https://www.thelocal.no/20260316/is-the-oslo-pass-worth-getting-when-visiting-the-norwegian-capital" TargetMode="External" Id="rId34" /><Relationship Type="http://schemas.openxmlformats.org/officeDocument/2006/relationships/hyperlink" Target="https://www.visitoslo.com/en/product/?tlp=1818293&amp;name=Vigeland-Sculpture-Park" TargetMode="External" Id="rId35" /><Relationship Type="http://schemas.openxmlformats.org/officeDocument/2006/relationships/hyperlink" Target="https://holmenkollen.com/en/" TargetMode="External" Id="rId36" /><Relationship Type="http://schemas.openxmlformats.org/officeDocument/2006/relationships/hyperlink" Target="https://holmenkollen.com/en/apningstider/" TargetMode="External" Id="rId37" /><Relationship Type="http://schemas.openxmlformats.org/officeDocument/2006/relationships/hyperlink" Target="https://www.oslo-spirit.com/guides/oslo-daily-costs/" TargetMode="External" Id="rId38" /><Relationship Type="http://schemas.openxmlformats.org/officeDocument/2006/relationships/hyperlink" Target="https://www.oslo-spirit.com/guides/oslo-daily-costs/" TargetMode="External" Id="rId39" /><Relationship Type="http://schemas.openxmlformats.org/officeDocument/2006/relationships/hyperlink" Target="https://frammuseum.no/en/plan-your-visit/" TargetMode="External" Id="rId40" /><Relationship Type="http://schemas.openxmlformats.org/officeDocument/2006/relationships/hyperlink" Target="https://frammuseum.no/en/plan-your-visit/" TargetMode="External" Id="rId41" /><Relationship Type="http://schemas.openxmlformats.org/officeDocument/2006/relationships/hyperlink" Target="https://munch.no/en/buy-tickets/" TargetMode="External" Id="rId42" /><Relationship Type="http://schemas.openxmlformats.org/officeDocument/2006/relationships/hyperlink" Target="https://www.munch.no/en/visit-us/opening-hours/" TargetMode="External" Id="rId43" /><Relationship Type="http://schemas.openxmlformats.org/officeDocument/2006/relationships/hyperlink" Target="https://www.vy.no/en" TargetMode="External" Id="rId44" /><Relationship Type="http://schemas.openxmlformats.org/officeDocument/2006/relationships/hyperlink" Target="https://www.rome2rio.com/s/Oslo/Drammen" TargetMode="External" Id="rId45" /><Relationship Type="http://schemas.openxmlformats.org/officeDocument/2006/relationships/hyperlink" Target="https://www.visitnorway.com/listings/forenom-serviced-appartments-drammen/269387/" TargetMode="External" Id="rId4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ecb.europa.eu/stats/policy_and_exchange_rates/euro_reference_exchange_rates/html/eurofxref-graph-nok.en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4" customWidth="1" min="4" max="4"/>
    <col width="44" customWidth="1" min="5" max="5"/>
    <col width="62" customWidth="1" min="6" max="6"/>
    <col width="12" customWidth="1" min="7" max="7"/>
    <col width="11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6" customWidth="1" min="14" max="14"/>
    <col width="34" customWidth="1" min="15" max="15"/>
    <col width="40" customWidth="1" min="16" max="16"/>
  </cols>
  <sheetData>
    <row r="1">
      <c r="A1" s="1" t="inlineStr">
        <is>
          <t>Categoría</t>
        </is>
      </c>
      <c r="B1" s="1" t="inlineStr">
        <is>
          <t>Fecha</t>
        </is>
      </c>
      <c r="C1" s="1" t="inlineStr">
        <is>
          <t>Día</t>
        </is>
      </c>
      <c r="D1" s="1" t="inlineStr">
        <is>
          <t>Horario</t>
        </is>
      </c>
      <c r="E1" s="1" t="inlineStr">
        <is>
          <t>Concepto o Actividad</t>
        </is>
      </c>
      <c r="F1" s="1" t="inlineStr">
        <is>
          <t>Notas</t>
        </is>
      </c>
      <c r="G1" s="1" t="inlineStr">
        <is>
          <t>Coste total</t>
        </is>
      </c>
      <c r="H1" s="1" t="inlineStr">
        <is>
          <t>Coste al dia</t>
        </is>
      </c>
      <c r="I1" s="1" t="inlineStr">
        <is>
          <t>Coste Raul</t>
        </is>
      </c>
      <c r="J1" s="1" t="inlineStr">
        <is>
          <t>Coste Guillermo</t>
        </is>
      </c>
      <c r="K1" s="1" t="inlineStr">
        <is>
          <t>Coste Silvia</t>
        </is>
      </c>
      <c r="L1" s="1" t="inlineStr">
        <is>
          <t>Precio por persona (NOK)</t>
        </is>
      </c>
      <c r="M1" s="1" t="inlineStr">
        <is>
          <t>Estado</t>
        </is>
      </c>
      <c r="N1" s="1" t="inlineStr">
        <is>
          <t>Plan</t>
        </is>
      </c>
      <c r="O1" s="1" t="inlineStr">
        <is>
          <t>Enlace</t>
        </is>
      </c>
      <c r="P1" s="1" t="inlineStr">
        <is>
          <t>Fuente del precio (consultado 13/10/2026)</t>
        </is>
      </c>
    </row>
    <row r="2">
      <c r="A2" s="2" t="inlineStr">
        <is>
          <t>Seguro</t>
        </is>
      </c>
      <c r="B2" s="3" t="inlineStr">
        <is>
          <t>16/10 al 20 o 24/10</t>
        </is>
      </c>
      <c r="C2" s="3" t="inlineStr">
        <is>
          <t>Varios</t>
        </is>
      </c>
      <c r="D2" s="3" t="inlineStr"/>
      <c r="E2" s="4" t="inlineStr">
        <is>
          <t>Seguro Viaje</t>
        </is>
      </c>
      <c r="F2" s="4" t="inlineStr"/>
      <c r="G2" s="5" t="n">
        <v>131.4</v>
      </c>
      <c r="H2" s="5" t="n"/>
      <c r="I2" s="5" t="n">
        <v>46.85</v>
      </c>
      <c r="J2" s="5" t="n">
        <v>46.85</v>
      </c>
      <c r="K2" s="5" t="n">
        <v>37.7</v>
      </c>
      <c r="L2" s="6" t="n"/>
      <c r="M2" s="3" t="inlineStr">
        <is>
          <t>Reservado</t>
        </is>
      </c>
      <c r="N2" s="3" t="inlineStr"/>
      <c r="O2" s="4" t="n"/>
      <c r="P2" s="4" t="n"/>
    </row>
    <row r="3">
      <c r="A3" s="7" t="inlineStr">
        <is>
          <t>Vuelo Ida</t>
        </is>
      </c>
      <c r="B3" s="8" t="n">
        <v>46311</v>
      </c>
      <c r="C3" s="9" t="inlineStr">
        <is>
          <t>Viernes</t>
        </is>
      </c>
      <c r="D3" s="9" t="inlineStr">
        <is>
          <t>06:05 - 12:20</t>
        </is>
      </c>
      <c r="E3" s="10" t="inlineStr">
        <is>
          <t>Vuelo Ida (VLC-FRA-OSL)</t>
        </is>
      </c>
      <c r="F3" s="10" t="inlineStr">
        <is>
          <t>Estar en el aeropuerto de Valencia a las 04:30–05:00 para facturar las maletas de 23 kg.</t>
        </is>
      </c>
      <c r="G3" s="11" t="n"/>
      <c r="H3" s="11" t="n"/>
      <c r="I3" s="11" t="n">
        <v>399.76</v>
      </c>
      <c r="J3" s="11" t="n">
        <v>403.76</v>
      </c>
      <c r="K3" s="11" t="n">
        <v>434.76</v>
      </c>
      <c r="L3" s="12" t="n"/>
      <c r="M3" s="9" t="inlineStr">
        <is>
          <t>Reservado</t>
        </is>
      </c>
      <c r="N3" s="9" t="inlineStr"/>
      <c r="O3" s="10" t="n"/>
      <c r="P3" s="10" t="n"/>
    </row>
    <row r="4">
      <c r="A4" s="7" t="inlineStr">
        <is>
          <t>Tren</t>
        </is>
      </c>
      <c r="B4" s="8" t="n">
        <v>46311</v>
      </c>
      <c r="C4" s="9" t="inlineStr">
        <is>
          <t>Viernes</t>
        </is>
      </c>
      <c r="D4" s="9" t="inlineStr">
        <is>
          <t>13:15 - 14:00</t>
        </is>
      </c>
      <c r="E4" s="10" t="inlineStr">
        <is>
          <t>Tren Gardermoen a OSLO S (Vy)</t>
        </is>
      </c>
      <c r="F4" s="10" t="inlineStr">
        <is>
          <t>Descargar la app de Vy. 124 NOK en la app (99 NOK comprando antes; 124–190 NOK en máquina); 25–30 min. HUELGA de maquinistas activa: el 16/10 Vy prevé cancelar el 51 % de los RE10 y el 6 % de los RE11. Mirar la app al aterrizar, antes de comprar.</t>
        </is>
      </c>
      <c r="G4" s="13">
        <f>IF($L4="","",SUM(I4:K4))</f>
        <v/>
      </c>
      <c r="H4" s="11" t="n"/>
      <c r="I4" s="13">
        <f>IF($L4="","",ROUND($L4/'Parámetros'!$B$3,2))</f>
        <v/>
      </c>
      <c r="J4" s="13">
        <f>IF($L4="","",ROUND($L4/'Parámetros'!$B$3,2))</f>
        <v/>
      </c>
      <c r="K4" s="13">
        <f>IF($L4="","",ROUND($L4/'Parámetros'!$B$3,2))</f>
        <v/>
      </c>
      <c r="L4" s="12" t="n">
        <v>124</v>
      </c>
      <c r="M4" s="9" t="inlineStr">
        <is>
          <t>Pendiente</t>
        </is>
      </c>
      <c r="N4" s="9" t="inlineStr">
        <is>
          <t>A</t>
        </is>
      </c>
      <c r="O4" s="14" t="inlineStr">
        <is>
          <t>https://www.vy.no/en</t>
        </is>
      </c>
      <c r="P4" s="14" t="inlineStr">
        <is>
          <t>https://www.oslo-spirit.com/de/reisefuehrer/flytoget-vs-zug/ · https://www.vy.no/togstreik</t>
        </is>
      </c>
    </row>
    <row r="5">
      <c r="A5" s="15" t="inlineStr">
        <is>
          <t>Tren</t>
        </is>
      </c>
      <c r="B5" s="16" t="n">
        <v>46311</v>
      </c>
      <c r="C5" s="17" t="inlineStr">
        <is>
          <t>Viernes</t>
        </is>
      </c>
      <c r="D5" s="17" t="inlineStr">
        <is>
          <t>13:15 - 13:35</t>
        </is>
      </c>
      <c r="E5" s="18" t="inlineStr">
        <is>
          <t>Alternativa: Flytoget aeropuerto → Oslo S</t>
        </is>
      </c>
      <c r="F5" s="18" t="inlineStr">
        <is>
          <t>Si no salen trenes de Vy. 19 min, cada 10 min. 243 NOK (a veces ofertas desde 199). Flytoget también tiene algunos maquinistas en huelga.</t>
        </is>
      </c>
      <c r="G5" s="19">
        <f>IF($L5="","",SUM(I5:K5))</f>
        <v/>
      </c>
      <c r="H5" s="20" t="n"/>
      <c r="I5" s="19">
        <f>IF($L5="","",ROUND($L5/'Parámetros'!$B$3,2))</f>
        <v/>
      </c>
      <c r="J5" s="19">
        <f>IF($L5="","",ROUND($L5/'Parámetros'!$B$3,2))</f>
        <v/>
      </c>
      <c r="K5" s="19">
        <f>IF($L5="","",ROUND($L5/'Parámetros'!$B$3,2))</f>
        <v/>
      </c>
      <c r="L5" s="12" t="n">
        <v>243</v>
      </c>
      <c r="M5" s="17" t="inlineStr">
        <is>
          <t>Alternativa</t>
        </is>
      </c>
      <c r="N5" s="17" t="inlineStr">
        <is>
          <t>A</t>
        </is>
      </c>
      <c r="O5" s="14" t="inlineStr">
        <is>
          <t>https://flytoget.no/en/</t>
        </is>
      </c>
      <c r="P5" s="14" t="inlineStr">
        <is>
          <t>https://www.oslo-spirit.com/de/reisefuehrer/flytoget-vs-zug/</t>
        </is>
      </c>
    </row>
    <row r="6">
      <c r="A6" s="15" t="inlineStr">
        <is>
          <t>Autobús</t>
        </is>
      </c>
      <c r="B6" s="16" t="n">
        <v>46311</v>
      </c>
      <c r="C6" s="17" t="inlineStr">
        <is>
          <t>Viernes</t>
        </is>
      </c>
      <c r="D6" s="17" t="inlineStr">
        <is>
          <t>13:30 - 14:30</t>
        </is>
      </c>
      <c r="E6" s="18" t="inlineStr">
        <is>
          <t>Alternativa: Flybussen aeropuerto → Oslo bussterminal</t>
        </is>
      </c>
      <c r="F6" s="18" t="inlineStr">
        <is>
          <t>No depende de la huelga de trenes. 40–50 min. Unos 220–260 NOK; más barato comprando antes en la web.</t>
        </is>
      </c>
      <c r="G6" s="19">
        <f>IF($L6="","",SUM(I6:K6))</f>
        <v/>
      </c>
      <c r="H6" s="20" t="n"/>
      <c r="I6" s="19">
        <f>IF($L6="","",ROUND($L6/'Parámetros'!$B$3,2))</f>
        <v/>
      </c>
      <c r="J6" s="19">
        <f>IF($L6="","",ROUND($L6/'Parámetros'!$B$3,2))</f>
        <v/>
      </c>
      <c r="K6" s="19">
        <f>IF($L6="","",ROUND($L6/'Parámetros'!$B$3,2))</f>
        <v/>
      </c>
      <c r="L6" s="12" t="n">
        <v>240</v>
      </c>
      <c r="M6" s="17" t="inlineStr">
        <is>
          <t>Alternativa</t>
        </is>
      </c>
      <c r="N6" s="17" t="inlineStr">
        <is>
          <t>A</t>
        </is>
      </c>
      <c r="O6" s="14" t="inlineStr">
        <is>
          <t>https://www.flybussen.no/en</t>
        </is>
      </c>
      <c r="P6" s="14" t="inlineStr">
        <is>
          <t>https://www.oslo-spirit.com/de/reisefuehrer/flytoget-vs-zug/</t>
        </is>
      </c>
    </row>
    <row r="7">
      <c r="A7" s="7" t="inlineStr">
        <is>
          <t>Consigna</t>
        </is>
      </c>
      <c r="B7" s="8" t="n">
        <v>46311</v>
      </c>
      <c r="C7" s="9" t="inlineStr">
        <is>
          <t>Viernes</t>
        </is>
      </c>
      <c r="D7" s="9" t="inlineStr">
        <is>
          <t>14:00 - 16:00</t>
        </is>
      </c>
      <c r="E7" s="10" t="inlineStr">
        <is>
          <t>Consigna viernes hasta el check-in (1 maleta por persona)</t>
        </is>
      </c>
      <c r="F7" s="10" t="inlineStr">
        <is>
          <t>La casa abre a las 16:00. Primero preguntar al anfitrión si guarda las maletas antes. Si no: LuggageHero junto a Oslo S (~15 NOK/h por maleta + 24 NOK de servicio) o taquillas de Oslo S (~129–299 NOK por taquilla y 24 h).</t>
        </is>
      </c>
      <c r="G7" s="13">
        <f>IF($L7="","",SUM(I7:K7))</f>
        <v/>
      </c>
      <c r="H7" s="11" t="n"/>
      <c r="I7" s="13">
        <f>IF($L7="","",ROUND($L7/'Parámetros'!$B$3,2))</f>
        <v/>
      </c>
      <c r="J7" s="13">
        <f>IF($L7="","",ROUND($L7/'Parámetros'!$B$3,2))</f>
        <v/>
      </c>
      <c r="K7" s="13">
        <f>IF($L7="","",ROUND($L7/'Parámetros'!$B$3,2))</f>
        <v/>
      </c>
      <c r="L7" s="12" t="n">
        <v>54</v>
      </c>
      <c r="M7" s="9" t="inlineStr">
        <is>
          <t>Opcional</t>
        </is>
      </c>
      <c r="N7" s="9" t="inlineStr"/>
      <c r="O7" s="14" t="inlineStr">
        <is>
          <t>https://luggagehero.com/oslo/oslo-central-station/</t>
        </is>
      </c>
      <c r="P7" s="14" t="inlineStr">
        <is>
          <t>https://luggagehero.com/oslo/oslo-central-station/ · https://thehiddennorth.com/where-to-store-luggage-in-norway/</t>
        </is>
      </c>
    </row>
    <row r="8">
      <c r="A8" s="7" t="inlineStr">
        <is>
          <t>Comida</t>
        </is>
      </c>
      <c r="B8" s="8" t="n">
        <v>46311</v>
      </c>
      <c r="C8" s="9" t="inlineStr">
        <is>
          <t>Viernes</t>
        </is>
      </c>
      <c r="D8" s="9" t="inlineStr">
        <is>
          <t>14:15 - 15:00</t>
        </is>
      </c>
      <c r="E8" s="10" t="inlineStr">
        <is>
          <t>Comida rápida en Oslo S / Bjørvika</t>
        </is>
      </c>
      <c r="F8" s="10" t="inlineStr">
        <is>
          <t>Estimación: almuerzo informal 120–220 NOK por persona.</t>
        </is>
      </c>
      <c r="G8" s="13">
        <f>IF($L8="","",SUM(I8:K8))</f>
        <v/>
      </c>
      <c r="H8" s="11" t="n"/>
      <c r="I8" s="13">
        <f>IF($L8="","",ROUND($L8/'Parámetros'!$B$3,2))</f>
        <v/>
      </c>
      <c r="J8" s="13">
        <f>IF($L8="","",ROUND($L8/'Parámetros'!$B$3,2))</f>
        <v/>
      </c>
      <c r="K8" s="13">
        <f>IF($L8="","",ROUND($L8/'Parámetros'!$B$3,2))</f>
        <v/>
      </c>
      <c r="L8" s="12" t="n">
        <v>150</v>
      </c>
      <c r="M8" s="9" t="inlineStr">
        <is>
          <t>Estimación</t>
        </is>
      </c>
      <c r="N8" s="9" t="inlineStr"/>
      <c r="O8" s="10" t="n"/>
      <c r="P8" s="14" t="inlineStr">
        <is>
          <t>https://www.oslo-spirit.com/guides/oslo-daily-costs/</t>
        </is>
      </c>
    </row>
    <row r="9">
      <c r="A9" s="7" t="inlineStr">
        <is>
          <t>Visita</t>
        </is>
      </c>
      <c r="B9" s="8" t="n">
        <v>46311</v>
      </c>
      <c r="C9" s="9" t="inlineStr">
        <is>
          <t>Viernes</t>
        </is>
      </c>
      <c r="D9" s="9" t="inlineStr">
        <is>
          <t>15:00 - 16:00</t>
        </is>
      </c>
      <c r="E9" s="10" t="inlineStr">
        <is>
          <t>Ópera de Oslo (tejado) + exterior del MUNCH + Bjørvika</t>
        </is>
      </c>
      <c r="F9" s="10" t="inlineStr">
        <is>
          <t>Gratis. A 5–10 min a pie de Oslo S. Subir al tejado de la Ópera solo si está seco y sin hielo.</t>
        </is>
      </c>
      <c r="G9" s="13">
        <f>IF($L9="","",SUM(I9:K9))</f>
        <v/>
      </c>
      <c r="H9" s="11" t="n"/>
      <c r="I9" s="13">
        <f>IF($L9="","",ROUND($L9/'Parámetros'!$B$3,2))</f>
        <v/>
      </c>
      <c r="J9" s="13">
        <f>IF($L9="","",ROUND($L9/'Parámetros'!$B$3,2))</f>
        <v/>
      </c>
      <c r="K9" s="13">
        <f>IF($L9="","",ROUND($L9/'Parámetros'!$B$3,2))</f>
        <v/>
      </c>
      <c r="L9" s="12" t="n">
        <v>0</v>
      </c>
      <c r="M9" s="9" t="inlineStr">
        <is>
          <t>Previsto</t>
        </is>
      </c>
      <c r="N9" s="9" t="inlineStr">
        <is>
          <t>A</t>
        </is>
      </c>
      <c r="O9" s="14" t="inlineStr">
        <is>
          <t>https://operaen.no/en/</t>
        </is>
      </c>
      <c r="P9" s="10" t="n"/>
    </row>
    <row r="10">
      <c r="A10" s="7" t="inlineStr">
        <is>
          <t>Alojamiento</t>
        </is>
      </c>
      <c r="B10" s="8" t="n">
        <v>46311</v>
      </c>
      <c r="C10" s="9" t="inlineStr">
        <is>
          <t>Viernes</t>
        </is>
      </c>
      <c r="D10" s="9" t="inlineStr">
        <is>
          <t>16:00 - 17:00</t>
        </is>
      </c>
      <c r="E10" s="10" t="inlineStr">
        <is>
          <t>Recoger maletas y check-in en la casa de Oslo</t>
        </is>
      </c>
      <c r="F10" s="10" t="inlineStr">
        <is>
          <t>Check-in desde las 16:00. Si la casa no está cerca de Oslo S: 1 billete sencillo de Ruter (46 NOK).</t>
        </is>
      </c>
      <c r="G10" s="11" t="n"/>
      <c r="H10" s="11" t="n"/>
      <c r="I10" s="11" t="n"/>
      <c r="J10" s="11" t="n"/>
      <c r="K10" s="11" t="n"/>
      <c r="L10" s="12" t="n"/>
      <c r="M10" s="9" t="inlineStr">
        <is>
          <t>Previsto</t>
        </is>
      </c>
      <c r="N10" s="9" t="inlineStr"/>
      <c r="O10" s="10" t="n"/>
      <c r="P10" s="10" t="n"/>
    </row>
    <row r="11">
      <c r="A11" s="2" t="inlineStr">
        <is>
          <t>Alojamiento</t>
        </is>
      </c>
      <c r="B11" s="3" t="inlineStr">
        <is>
          <t>16/10 al 18/10</t>
        </is>
      </c>
      <c r="C11" s="3" t="inlineStr">
        <is>
          <t>Varios</t>
        </is>
      </c>
      <c r="D11" s="3" t="inlineStr">
        <is>
          <t>16:00 - 10:00</t>
        </is>
      </c>
      <c r="E11" s="4" t="inlineStr">
        <is>
          <t>Casa en OSLO (2 Noches)</t>
        </is>
      </c>
      <c r="F11" s="4" t="inlineStr">
        <is>
          <t>Check-in 16:00 del viernes; check-out 10:00 del domingo.</t>
        </is>
      </c>
      <c r="G11" s="5" t="n">
        <v>532.88</v>
      </c>
      <c r="H11" s="5" t="n"/>
      <c r="I11" s="5" t="n">
        <v>177.63</v>
      </c>
      <c r="J11" s="5" t="n">
        <v>177.63</v>
      </c>
      <c r="K11" s="5" t="n">
        <v>177.63</v>
      </c>
      <c r="L11" s="6" t="n"/>
      <c r="M11" s="3" t="inlineStr">
        <is>
          <t>Reservado</t>
        </is>
      </c>
      <c r="N11" s="3" t="inlineStr"/>
      <c r="O11" s="4" t="n"/>
      <c r="P11" s="4" t="n"/>
    </row>
    <row r="12">
      <c r="A12" s="7" t="inlineStr">
        <is>
          <t>Compra</t>
        </is>
      </c>
      <c r="B12" s="8" t="n">
        <v>46311</v>
      </c>
      <c r="C12" s="9" t="inlineStr">
        <is>
          <t>Viernes</t>
        </is>
      </c>
      <c r="D12" s="9" t="inlineStr">
        <is>
          <t>17:15 - 18:00</t>
        </is>
      </c>
      <c r="E12" s="10" t="inlineStr">
        <is>
          <t>Supermercado: desayunos de sábado y domingo, agua y snacks</t>
        </is>
      </c>
      <c r="F12" s="10" t="inlineStr">
        <is>
          <t>Estimación. Cocinar con productos del súper sale a 150–200 NOK por persona y día.</t>
        </is>
      </c>
      <c r="G12" s="13">
        <f>IF($L12="","",SUM(I12:K12))</f>
        <v/>
      </c>
      <c r="H12" s="11" t="n"/>
      <c r="I12" s="13">
        <f>IF($L12="","",ROUND($L12/'Parámetros'!$B$3,2))</f>
        <v/>
      </c>
      <c r="J12" s="13">
        <f>IF($L12="","",ROUND($L12/'Parámetros'!$B$3,2))</f>
        <v/>
      </c>
      <c r="K12" s="13">
        <f>IF($L12="","",ROUND($L12/'Parámetros'!$B$3,2))</f>
        <v/>
      </c>
      <c r="L12" s="12" t="n">
        <v>100</v>
      </c>
      <c r="M12" s="9" t="inlineStr">
        <is>
          <t>Estimación</t>
        </is>
      </c>
      <c r="N12" s="9" t="inlineStr"/>
      <c r="O12" s="10" t="n"/>
      <c r="P12" s="14" t="inlineStr">
        <is>
          <t>https://www.oslo-spirit.com/guides/oslo-daily-costs/</t>
        </is>
      </c>
    </row>
    <row r="13">
      <c r="A13" s="7" t="inlineStr">
        <is>
          <t>Museo</t>
        </is>
      </c>
      <c r="B13" s="8" t="n">
        <v>46311</v>
      </c>
      <c r="C13" s="9" t="inlineStr">
        <is>
          <t>Viernes</t>
        </is>
      </c>
      <c r="D13" s="9" t="inlineStr">
        <is>
          <t>18:00 - 19:30</t>
        </is>
      </c>
      <c r="E13" s="10" t="inlineStr">
        <is>
          <t>Opcional: MUNCH con tarifa de tarde</t>
        </is>
      </c>
      <c r="F13" s="10" t="inlineStr">
        <is>
          <t>Si llueve o queda energía. Viernes abre hasta las 21:00. Franja 18:00–21:00: 200 NOK (de día 280 NOK; menores de 25: 100 NOK). Reservar la franja online.</t>
        </is>
      </c>
      <c r="G13" s="13">
        <f>IF($L13="","",SUM(I13:K13))</f>
        <v/>
      </c>
      <c r="H13" s="11" t="n"/>
      <c r="I13" s="13">
        <f>IF($L13="","",ROUND($L13/'Parámetros'!$B$3,2))</f>
        <v/>
      </c>
      <c r="J13" s="13">
        <f>IF($L13="","",ROUND($L13/'Parámetros'!$B$3,2))</f>
        <v/>
      </c>
      <c r="K13" s="13">
        <f>IF($L13="","",ROUND($L13/'Parámetros'!$B$3,2))</f>
        <v/>
      </c>
      <c r="L13" s="12" t="n">
        <v>200</v>
      </c>
      <c r="M13" s="9" t="inlineStr">
        <is>
          <t>Opcional</t>
        </is>
      </c>
      <c r="N13" s="9" t="inlineStr"/>
      <c r="O13" s="14" t="inlineStr">
        <is>
          <t>https://munch.no/en/buy-tickets/</t>
        </is>
      </c>
      <c r="P13" s="14" t="inlineStr">
        <is>
          <t>https://www.munch.no/en/visit-us/opening-hours/</t>
        </is>
      </c>
    </row>
    <row r="14">
      <c r="A14" s="7" t="inlineStr">
        <is>
          <t>Comida</t>
        </is>
      </c>
      <c r="B14" s="8" t="n">
        <v>46311</v>
      </c>
      <c r="C14" s="9" t="inlineStr">
        <is>
          <t>Viernes</t>
        </is>
      </c>
      <c r="D14" s="9" t="inlineStr">
        <is>
          <t>19:30 - 21:00</t>
        </is>
      </c>
      <c r="E14" s="10" t="inlineStr">
        <is>
          <t>Cena en Oslo</t>
        </is>
      </c>
      <c r="F14" s="10" t="inlineStr">
        <is>
          <t>Estimación: restaurante medio 280–420 NOK por persona con una bebida; food hall 200–280 NOK.</t>
        </is>
      </c>
      <c r="G14" s="13">
        <f>IF($L14="","",SUM(I14:K14))</f>
        <v/>
      </c>
      <c r="H14" s="11" t="n"/>
      <c r="I14" s="13">
        <f>IF($L14="","",ROUND($L14/'Parámetros'!$B$3,2))</f>
        <v/>
      </c>
      <c r="J14" s="13">
        <f>IF($L14="","",ROUND($L14/'Parámetros'!$B$3,2))</f>
        <v/>
      </c>
      <c r="K14" s="13">
        <f>IF($L14="","",ROUND($L14/'Parámetros'!$B$3,2))</f>
        <v/>
      </c>
      <c r="L14" s="12" t="n">
        <v>300</v>
      </c>
      <c r="M14" s="9" t="inlineStr">
        <is>
          <t>Estimación</t>
        </is>
      </c>
      <c r="N14" s="9" t="inlineStr"/>
      <c r="O14" s="10" t="n"/>
      <c r="P14" s="14" t="inlineStr">
        <is>
          <t>https://www.oslo-spirit.com/guides/oslo-daily-costs/</t>
        </is>
      </c>
    </row>
    <row r="15">
      <c r="A15" s="7" t="inlineStr">
        <is>
          <t>Auroras</t>
        </is>
      </c>
      <c r="B15" s="8" t="n">
        <v>46311</v>
      </c>
      <c r="C15" s="9" t="inlineStr">
        <is>
          <t>Viernes</t>
        </is>
      </c>
      <c r="D15" s="9" t="inlineStr">
        <is>
          <t>21:00</t>
        </is>
      </c>
      <c r="E15" s="10" t="inlineStr">
        <is>
          <t>Mirar la previsión de auroras (NOAA + Yr)</t>
        </is>
      </c>
      <c r="F15" s="10" t="inlineStr">
        <is>
          <t>Salir solo si Kp ≥ 5, el cielo está despejado y la vuelta está asegurada.</t>
        </is>
      </c>
      <c r="G15" s="11" t="n"/>
      <c r="H15" s="11" t="n"/>
      <c r="I15" s="11" t="n"/>
      <c r="J15" s="11" t="n"/>
      <c r="K15" s="11" t="n"/>
      <c r="L15" s="12" t="n"/>
      <c r="M15" s="9" t="inlineStr">
        <is>
          <t>Previsto</t>
        </is>
      </c>
      <c r="N15" s="9" t="inlineStr"/>
      <c r="O15" s="14" t="inlineStr">
        <is>
          <t>https://www.swpc.noaa.gov/products/aurora-30-minute-forecast</t>
        </is>
      </c>
      <c r="P15" s="10" t="n"/>
    </row>
    <row r="16">
      <c r="A16" s="21" t="inlineStr">
        <is>
          <t>Barco</t>
        </is>
      </c>
      <c r="B16" s="22" t="n">
        <v>46312</v>
      </c>
      <c r="C16" s="23" t="inlineStr">
        <is>
          <t>Sábado</t>
        </is>
      </c>
      <c r="D16" s="23" t="inlineStr">
        <is>
          <t>09:45 - 12:30</t>
        </is>
      </c>
      <c r="E16" s="24" t="inlineStr">
        <is>
          <t>Crucero Brim Explorer — Silent Oslo Fjord Cruise</t>
        </is>
      </c>
      <c r="F16" s="24" t="inlineStr">
        <is>
          <t>Sale a las 10:00 de Rådhusbrygge 2 (estar 15 min antes); 2,5 h. Salidas diarias a las 10:00 y 13:30 todo el año. Desde el 1/10: 15 % de descuento + bebida caliente gratis (690 → 586,50 NOK). Salones interiores calefactados y cafetería.</t>
        </is>
      </c>
      <c r="G16" s="25">
        <f>IF($L16="","",SUM(I16:K16))</f>
        <v/>
      </c>
      <c r="H16" s="26" t="n"/>
      <c r="I16" s="25">
        <f>IF($L16="","",ROUND($L16/'Parámetros'!$B$3,2))</f>
        <v/>
      </c>
      <c r="J16" s="25">
        <f>IF($L16="","",ROUND($L16/'Parámetros'!$B$3,2))</f>
        <v/>
      </c>
      <c r="K16" s="25">
        <f>IF($L16="","",ROUND($L16/'Parámetros'!$B$3,2))</f>
        <v/>
      </c>
      <c r="L16" s="27" t="n">
        <v>586.5</v>
      </c>
      <c r="M16" s="23" t="inlineStr">
        <is>
          <t>Pendiente</t>
        </is>
      </c>
      <c r="N16" s="23" t="inlineStr">
        <is>
          <t>A</t>
        </is>
      </c>
      <c r="O16" s="28" t="inlineStr">
        <is>
          <t>https://brimexplorer.com/tours/silent-oslo-fjord-cruise</t>
        </is>
      </c>
      <c r="P16" s="28" t="inlineStr">
        <is>
          <t>https://brimexplorer.com/tours/silent-oslo-fjord-cruise</t>
        </is>
      </c>
    </row>
    <row r="17">
      <c r="A17" s="29" t="inlineStr">
        <is>
          <t>Barco</t>
        </is>
      </c>
      <c r="B17" s="30" t="n">
        <v>46312</v>
      </c>
      <c r="C17" s="31" t="inlineStr">
        <is>
          <t>Sábado</t>
        </is>
      </c>
      <c r="D17" s="31" t="inlineStr">
        <is>
          <t>10:00 - 12:30</t>
        </is>
      </c>
      <c r="E17" s="32" t="inlineStr">
        <is>
          <t>Alternativa: ferry B1 a Hovedøya (ida y vuelta)</t>
        </is>
      </c>
      <c r="F17" s="32" t="inlineStr">
        <is>
          <t>Solo si el día es seco y los caminos no tienen hielo. 2 billetes sencillos de Ruter zona 1 (46 NOK cada uno). Mirar la hora del ferry de vuelta antes de desembarcar.</t>
        </is>
      </c>
      <c r="G17" s="33">
        <f>IF($L17="","",SUM(I17:K17))</f>
        <v/>
      </c>
      <c r="H17" s="34" t="n"/>
      <c r="I17" s="33">
        <f>IF($L17="","",ROUND($L17/'Parámetros'!$B$3,2))</f>
        <v/>
      </c>
      <c r="J17" s="33">
        <f>IF($L17="","",ROUND($L17/'Parámetros'!$B$3,2))</f>
        <v/>
      </c>
      <c r="K17" s="33">
        <f>IF($L17="","",ROUND($L17/'Parámetros'!$B$3,2))</f>
        <v/>
      </c>
      <c r="L17" s="27" t="n">
        <v>92</v>
      </c>
      <c r="M17" s="31" t="inlineStr">
        <is>
          <t>Alternativa</t>
        </is>
      </c>
      <c r="N17" s="31" t="inlineStr">
        <is>
          <t>A2</t>
        </is>
      </c>
      <c r="O17" s="28" t="inlineStr">
        <is>
          <t>https://ruter.no/en</t>
        </is>
      </c>
      <c r="P17" s="28" t="inlineStr">
        <is>
          <t>https://ruter.no/nyheter/alt-om-billettpriser</t>
        </is>
      </c>
    </row>
    <row r="18">
      <c r="A18" s="29" t="inlineStr">
        <is>
          <t>Museo</t>
        </is>
      </c>
      <c r="B18" s="30" t="n">
        <v>46312</v>
      </c>
      <c r="C18" s="31" t="inlineStr">
        <is>
          <t>Sábado</t>
        </is>
      </c>
      <c r="D18" s="31" t="inlineStr">
        <is>
          <t>10:00 - 12:30</t>
        </is>
      </c>
      <c r="E18" s="32" t="inlineStr">
        <is>
          <t>Alternativa (lluvia fuerte): MUNCH</t>
        </is>
      </c>
      <c r="F18" s="32" t="inlineStr">
        <is>
          <t>Plan C. 280 NOK (10:00–18:00). El sábado abre hasta las 21:00.</t>
        </is>
      </c>
      <c r="G18" s="33">
        <f>IF($L18="","",SUM(I18:K18))</f>
        <v/>
      </c>
      <c r="H18" s="34" t="n"/>
      <c r="I18" s="33">
        <f>IF($L18="","",ROUND($L18/'Parámetros'!$B$3,2))</f>
        <v/>
      </c>
      <c r="J18" s="33">
        <f>IF($L18="","",ROUND($L18/'Parámetros'!$B$3,2))</f>
        <v/>
      </c>
      <c r="K18" s="33">
        <f>IF($L18="","",ROUND($L18/'Parámetros'!$B$3,2))</f>
        <v/>
      </c>
      <c r="L18" s="27" t="n">
        <v>280</v>
      </c>
      <c r="M18" s="31" t="inlineStr">
        <is>
          <t>Alternativa</t>
        </is>
      </c>
      <c r="N18" s="31" t="inlineStr">
        <is>
          <t>C</t>
        </is>
      </c>
      <c r="O18" s="28" t="inlineStr">
        <is>
          <t>https://munch.no/en/buy-tickets/</t>
        </is>
      </c>
      <c r="P18" s="28" t="inlineStr">
        <is>
          <t>https://www.munch.no/en/visit-us/opening-hours/</t>
        </is>
      </c>
    </row>
    <row r="19">
      <c r="A19" s="21" t="inlineStr">
        <is>
          <t>Comida</t>
        </is>
      </c>
      <c r="B19" s="22" t="n">
        <v>46312</v>
      </c>
      <c r="C19" s="23" t="inlineStr">
        <is>
          <t>Sábado</t>
        </is>
      </c>
      <c r="D19" s="23" t="inlineStr">
        <is>
          <t>12:30 - 13:30</t>
        </is>
      </c>
      <c r="E19" s="24" t="inlineStr">
        <is>
          <t>Comida en Aker Brygge</t>
        </is>
      </c>
      <c r="F19" s="24" t="inlineStr">
        <is>
          <t>Estimación. Aker Brygge es un 30–50 % más caro que otras zonas; buscar un 'dagsmeny' (menú del día).</t>
        </is>
      </c>
      <c r="G19" s="25">
        <f>IF($L19="","",SUM(I19:K19))</f>
        <v/>
      </c>
      <c r="H19" s="26" t="n"/>
      <c r="I19" s="25">
        <f>IF($L19="","",ROUND($L19/'Parámetros'!$B$3,2))</f>
        <v/>
      </c>
      <c r="J19" s="25">
        <f>IF($L19="","",ROUND($L19/'Parámetros'!$B$3,2))</f>
        <v/>
      </c>
      <c r="K19" s="25">
        <f>IF($L19="","",ROUND($L19/'Parámetros'!$B$3,2))</f>
        <v/>
      </c>
      <c r="L19" s="27" t="n">
        <v>220</v>
      </c>
      <c r="M19" s="23" t="inlineStr">
        <is>
          <t>Estimación</t>
        </is>
      </c>
      <c r="N19" s="23" t="inlineStr"/>
      <c r="O19" s="24" t="n"/>
      <c r="P19" s="28" t="inlineStr">
        <is>
          <t>https://www.oslo-spirit.com/guides/oslo-daily-costs/</t>
        </is>
      </c>
    </row>
    <row r="20">
      <c r="A20" s="21" t="inlineStr">
        <is>
          <t>Visita</t>
        </is>
      </c>
      <c r="B20" s="22" t="n">
        <v>46312</v>
      </c>
      <c r="C20" s="23" t="inlineStr">
        <is>
          <t>Sábado</t>
        </is>
      </c>
      <c r="D20" s="23" t="inlineStr">
        <is>
          <t>13:30 - 14:15</t>
        </is>
      </c>
      <c r="E20" s="24" t="inlineStr">
        <is>
          <t>Ayuntamiento de Oslo (Rådhuset)</t>
        </is>
      </c>
      <c r="F20" s="24" t="inlineStr">
        <is>
          <t>Gratis. Lunes a sábado 09:00–16:00; domingos cerrado. El 17/10 no figura entre los cierres especiales (consultado el 13/10). Control de seguridad: puede haber cola.</t>
        </is>
      </c>
      <c r="G20" s="25">
        <f>IF($L20="","",SUM(I20:K20))</f>
        <v/>
      </c>
      <c r="H20" s="26" t="n"/>
      <c r="I20" s="25">
        <f>IF($L20="","",ROUND($L20/'Parámetros'!$B$3,2))</f>
        <v/>
      </c>
      <c r="J20" s="25">
        <f>IF($L20="","",ROUND($L20/'Parámetros'!$B$3,2))</f>
        <v/>
      </c>
      <c r="K20" s="25">
        <f>IF($L20="","",ROUND($L20/'Parámetros'!$B$3,2))</f>
        <v/>
      </c>
      <c r="L20" s="27" t="n">
        <v>0</v>
      </c>
      <c r="M20" s="23" t="inlineStr">
        <is>
          <t>Previsto</t>
        </is>
      </c>
      <c r="N20" s="23" t="inlineStr">
        <is>
          <t>A</t>
        </is>
      </c>
      <c r="O20" s="28" t="inlineStr">
        <is>
          <t>https://www.oslo.kommune.no/english/oslo-city-hall/opening-hours/</t>
        </is>
      </c>
      <c r="P20" s="28" t="inlineStr">
        <is>
          <t>https://www.oslo.kommune.no/radhuset/radhusets-apningstider/</t>
        </is>
      </c>
    </row>
    <row r="21">
      <c r="A21" s="21" t="inlineStr">
        <is>
          <t>Visita</t>
        </is>
      </c>
      <c r="B21" s="22" t="n">
        <v>46312</v>
      </c>
      <c r="C21" s="23" t="inlineStr">
        <is>
          <t>Sábado</t>
        </is>
      </c>
      <c r="D21" s="23" t="inlineStr">
        <is>
          <t>14:30 - 15:45</t>
        </is>
      </c>
      <c r="E21" s="24" t="inlineStr">
        <is>
          <t>Fortaleza de Akershus (exterior)</t>
        </is>
      </c>
      <c r="F21" s="24" t="inlineStr">
        <is>
          <t>Recinto gratis, abierto todos los días de 06:00 a 21:00. El castillo por dentro solo abre del 2/7 al 31/8.</t>
        </is>
      </c>
      <c r="G21" s="25">
        <f>IF($L21="","",SUM(I21:K21))</f>
        <v/>
      </c>
      <c r="H21" s="26" t="n"/>
      <c r="I21" s="25">
        <f>IF($L21="","",ROUND($L21/'Parámetros'!$B$3,2))</f>
        <v/>
      </c>
      <c r="J21" s="25">
        <f>IF($L21="","",ROUND($L21/'Parámetros'!$B$3,2))</f>
        <v/>
      </c>
      <c r="K21" s="25">
        <f>IF($L21="","",ROUND($L21/'Parámetros'!$B$3,2))</f>
        <v/>
      </c>
      <c r="L21" s="27" t="n">
        <v>0</v>
      </c>
      <c r="M21" s="23" t="inlineStr">
        <is>
          <t>Previsto</t>
        </is>
      </c>
      <c r="N21" s="23" t="inlineStr">
        <is>
          <t>A</t>
        </is>
      </c>
      <c r="O21" s="28" t="inlineStr">
        <is>
          <t>https://forsvarsbygg.no/no/festningene/akershus-festning/akershus-fortress/practical-information</t>
        </is>
      </c>
      <c r="P21" s="28" t="inlineStr">
        <is>
          <t>https://forsvarsbygg.no/no/festningene/akershus-festning/akershus-fortress/practical-information</t>
        </is>
      </c>
    </row>
    <row r="22">
      <c r="A22" s="21" t="inlineStr">
        <is>
          <t>Paseo</t>
        </is>
      </c>
      <c r="B22" s="22" t="n">
        <v>46312</v>
      </c>
      <c r="C22" s="23" t="inlineStr">
        <is>
          <t>Sábado</t>
        </is>
      </c>
      <c r="D22" s="23" t="inlineStr">
        <is>
          <t>16:00 - 18:15</t>
        </is>
      </c>
      <c r="E22" s="24" t="inlineStr">
        <is>
          <t>Karl Johans gate → Catedral → Parlamento → Palacio Real (exterior)</t>
        </is>
      </c>
      <c r="F22" s="24" t="inlineStr">
        <is>
          <t>Gratis. Puesta de sol hacia las 18:15. Refugio si hace frío: MUNCH (sábado hasta las 21:00).</t>
        </is>
      </c>
      <c r="G22" s="25">
        <f>IF($L22="","",SUM(I22:K22))</f>
        <v/>
      </c>
      <c r="H22" s="26" t="n"/>
      <c r="I22" s="25">
        <f>IF($L22="","",ROUND($L22/'Parámetros'!$B$3,2))</f>
        <v/>
      </c>
      <c r="J22" s="25">
        <f>IF($L22="","",ROUND($L22/'Parámetros'!$B$3,2))</f>
        <v/>
      </c>
      <c r="K22" s="25">
        <f>IF($L22="","",ROUND($L22/'Parámetros'!$B$3,2))</f>
        <v/>
      </c>
      <c r="L22" s="27" t="n">
        <v>0</v>
      </c>
      <c r="M22" s="23" t="inlineStr">
        <is>
          <t>Previsto</t>
        </is>
      </c>
      <c r="N22" s="23" t="inlineStr">
        <is>
          <t>A</t>
        </is>
      </c>
      <c r="O22" s="24" t="n"/>
      <c r="P22" s="24" t="n"/>
    </row>
    <row r="23">
      <c r="A23" s="21" t="inlineStr">
        <is>
          <t>Compra</t>
        </is>
      </c>
      <c r="B23" s="22" t="n">
        <v>46312</v>
      </c>
      <c r="C23" s="23" t="inlineStr">
        <is>
          <t>Sábado</t>
        </is>
      </c>
      <c r="D23" s="23" t="inlineStr">
        <is>
          <t>18:15 - 19:00</t>
        </is>
      </c>
      <c r="E23" s="24" t="inlineStr">
        <is>
          <t>Supermercado: cena del domingo y desayuno del lunes</t>
        </is>
      </c>
      <c r="F23" s="24" t="inlineStr">
        <is>
          <t>En Noruega casi todos los supermercados cierran en domingo: hay que comprarlo hoy.</t>
        </is>
      </c>
      <c r="G23" s="25">
        <f>IF($L23="","",SUM(I23:K23))</f>
        <v/>
      </c>
      <c r="H23" s="26" t="n"/>
      <c r="I23" s="25">
        <f>IF($L23="","",ROUND($L23/'Parámetros'!$B$3,2))</f>
        <v/>
      </c>
      <c r="J23" s="25">
        <f>IF($L23="","",ROUND($L23/'Parámetros'!$B$3,2))</f>
        <v/>
      </c>
      <c r="K23" s="25">
        <f>IF($L23="","",ROUND($L23/'Parámetros'!$B$3,2))</f>
        <v/>
      </c>
      <c r="L23" s="27" t="n">
        <v>200</v>
      </c>
      <c r="M23" s="23" t="inlineStr">
        <is>
          <t>Estimación</t>
        </is>
      </c>
      <c r="N23" s="23" t="inlineStr"/>
      <c r="O23" s="24" t="n"/>
      <c r="P23" s="28" t="inlineStr">
        <is>
          <t>https://www.oslo-spirit.com/guides/oslo-daily-costs/</t>
        </is>
      </c>
    </row>
    <row r="24">
      <c r="A24" s="21" t="inlineStr">
        <is>
          <t>Comida</t>
        </is>
      </c>
      <c r="B24" s="22" t="n">
        <v>46312</v>
      </c>
      <c r="C24" s="23" t="inlineStr">
        <is>
          <t>Sábado</t>
        </is>
      </c>
      <c r="D24" s="23" t="inlineStr">
        <is>
          <t>19:30 - 21:00</t>
        </is>
      </c>
      <c r="E24" s="24" t="inlineStr">
        <is>
          <t>Cena en Oslo</t>
        </is>
      </c>
      <c r="F24" s="24" t="inlineStr">
        <is>
          <t>Estimación: restaurante medio 280–420 NOK por persona con una bebida.</t>
        </is>
      </c>
      <c r="G24" s="25">
        <f>IF($L24="","",SUM(I24:K24))</f>
        <v/>
      </c>
      <c r="H24" s="26" t="n"/>
      <c r="I24" s="25">
        <f>IF($L24="","",ROUND($L24/'Parámetros'!$B$3,2))</f>
        <v/>
      </c>
      <c r="J24" s="25">
        <f>IF($L24="","",ROUND($L24/'Parámetros'!$B$3,2))</f>
        <v/>
      </c>
      <c r="K24" s="25">
        <f>IF($L24="","",ROUND($L24/'Parámetros'!$B$3,2))</f>
        <v/>
      </c>
      <c r="L24" s="27" t="n">
        <v>300</v>
      </c>
      <c r="M24" s="23" t="inlineStr">
        <is>
          <t>Estimación</t>
        </is>
      </c>
      <c r="N24" s="23" t="inlineStr"/>
      <c r="O24" s="24" t="n"/>
      <c r="P24" s="28" t="inlineStr">
        <is>
          <t>https://www.oslo-spirit.com/guides/oslo-daily-costs/</t>
        </is>
      </c>
    </row>
    <row r="25">
      <c r="A25" s="21" t="inlineStr">
        <is>
          <t>Auroras</t>
        </is>
      </c>
      <c r="B25" s="22" t="n">
        <v>46312</v>
      </c>
      <c r="C25" s="23" t="inlineStr">
        <is>
          <t>Sábado</t>
        </is>
      </c>
      <c r="D25" s="23" t="inlineStr">
        <is>
          <t>21:30 - 00:30</t>
        </is>
      </c>
      <c r="E25" s="24" t="inlineStr">
        <is>
          <t>Opcional: salida a ver auroras (Ekebergparken)</t>
        </is>
      </c>
      <c r="F25" s="24" t="inlineStr">
        <is>
          <t>Solo si Kp ≥ 5, cielo despejado y vuelta asegurada. Tranvía de ida y vuelta: 2 × 46 NOK. Alternativa más oscura: Sognsvann (final del metro), si hay metro de vuelta.</t>
        </is>
      </c>
      <c r="G25" s="25">
        <f>IF($L25="","",SUM(I25:K25))</f>
        <v/>
      </c>
      <c r="H25" s="26" t="n"/>
      <c r="I25" s="25">
        <f>IF($L25="","",ROUND($L25/'Parámetros'!$B$3,2))</f>
        <v/>
      </c>
      <c r="J25" s="25">
        <f>IF($L25="","",ROUND($L25/'Parámetros'!$B$3,2))</f>
        <v/>
      </c>
      <c r="K25" s="25">
        <f>IF($L25="","",ROUND($L25/'Parámetros'!$B$3,2))</f>
        <v/>
      </c>
      <c r="L25" s="27" t="n">
        <v>92</v>
      </c>
      <c r="M25" s="23" t="inlineStr">
        <is>
          <t>Opcional</t>
        </is>
      </c>
      <c r="N25" s="23" t="inlineStr"/>
      <c r="O25" s="28" t="inlineStr">
        <is>
          <t>https://www.swpc.noaa.gov/products/aurora-30-minute-forecast</t>
        </is>
      </c>
      <c r="P25" s="28" t="inlineStr">
        <is>
          <t>https://ruter.no/nyheter/alt-om-billettpriser</t>
        </is>
      </c>
    </row>
    <row r="26">
      <c r="A26" s="35" t="inlineStr">
        <is>
          <t>Alojamiento</t>
        </is>
      </c>
      <c r="B26" s="36" t="n">
        <v>46313</v>
      </c>
      <c r="C26" s="37" t="inlineStr">
        <is>
          <t>Domingo</t>
        </is>
      </c>
      <c r="D26" s="37" t="inlineStr">
        <is>
          <t>08:30 - 10:00</t>
        </is>
      </c>
      <c r="E26" s="38" t="inlineStr">
        <is>
          <t>Desayuno, maletas y check-out de la casa de Oslo</t>
        </is>
      </c>
      <c r="F26" s="38" t="inlineStr">
        <is>
          <t>Check-out a las 10:00.</t>
        </is>
      </c>
      <c r="G26" s="39" t="n"/>
      <c r="H26" s="39" t="n"/>
      <c r="I26" s="39" t="n"/>
      <c r="J26" s="39" t="n"/>
      <c r="K26" s="39" t="n"/>
      <c r="L26" s="40" t="n"/>
      <c r="M26" s="37" t="inlineStr">
        <is>
          <t>Previsto</t>
        </is>
      </c>
      <c r="N26" s="37" t="inlineStr"/>
      <c r="O26" s="38" t="n"/>
      <c r="P26" s="38" t="n"/>
    </row>
    <row r="27">
      <c r="A27" s="35" t="inlineStr">
        <is>
          <t>Consigna</t>
        </is>
      </c>
      <c r="B27" s="36" t="n">
        <v>46313</v>
      </c>
      <c r="C27" s="37" t="inlineStr">
        <is>
          <t>Domingo</t>
        </is>
      </c>
      <c r="D27" s="37" t="inlineStr">
        <is>
          <t>10:00 - 17:00</t>
        </is>
      </c>
      <c r="E27" s="38" t="inlineStr">
        <is>
          <t>Consigna para guardar maletas Domingo</t>
        </is>
      </c>
      <c r="F27" s="38" t="inlineStr">
        <is>
          <t>Taquillas de Oslo S (planta inferior del vestíbulo Hovedhallen): ~129 NOK pequeña – ~299 NOK grande por 24 h; sin confirmar que quepa una maleta de 23 kg. Alternativa: LuggageHero junto a Oslo S, sin límite de tamaño (~15 NOK/h por maleta + 24 NOK de servicio). Estimación por persona.</t>
        </is>
      </c>
      <c r="G27" s="41">
        <f>IF($L27="","",SUM(I27:K27))</f>
        <v/>
      </c>
      <c r="H27" s="39" t="n"/>
      <c r="I27" s="41">
        <f>IF($L27="","",ROUND($L27/'Parámetros'!$B$3,2))</f>
        <v/>
      </c>
      <c r="J27" s="41">
        <f>IF($L27="","",ROUND($L27/'Parámetros'!$B$3,2))</f>
        <v/>
      </c>
      <c r="K27" s="41">
        <f>IF($L27="","",ROUND($L27/'Parámetros'!$B$3,2))</f>
        <v/>
      </c>
      <c r="L27" s="40" t="n">
        <v>130</v>
      </c>
      <c r="M27" s="37" t="inlineStr">
        <is>
          <t>Pendiente</t>
        </is>
      </c>
      <c r="N27" s="37" t="inlineStr"/>
      <c r="O27" s="42" t="inlineStr">
        <is>
          <t>https://luggagehero.com/oslo/oslo-central-station/</t>
        </is>
      </c>
      <c r="P27" s="42" t="inlineStr">
        <is>
          <t>https://thehiddennorth.com/where-to-store-luggage-in-norway/ · https://luggagehero.com/oslo/oslo-central-station/</t>
        </is>
      </c>
    </row>
    <row r="28">
      <c r="A28" s="35" t="inlineStr">
        <is>
          <t>Transporte</t>
        </is>
      </c>
      <c r="B28" s="36" t="n">
        <v>46313</v>
      </c>
      <c r="C28" s="37" t="inlineStr">
        <is>
          <t>Domingo</t>
        </is>
      </c>
      <c r="D28" s="37" t="inlineStr">
        <is>
          <t>10:15</t>
        </is>
      </c>
      <c r="E28" s="38" t="inlineStr">
        <is>
          <t>Billete Ruter de 24 h, zona 1 (app Ruter)</t>
        </is>
      </c>
      <c r="F28" s="38" t="inlineStr">
        <is>
          <t>137 NOK. Cubre el metro a Majorstuen, a Holmenkollen y la vuelta (≈ 3 billetes sencillos de 46 NOK), y el bus 30 a Bygdøy si hay plan B.</t>
        </is>
      </c>
      <c r="G28" s="41">
        <f>IF($L28="","",SUM(I28:K28))</f>
        <v/>
      </c>
      <c r="H28" s="39" t="n"/>
      <c r="I28" s="41">
        <f>IF($L28="","",ROUND($L28/'Parámetros'!$B$3,2))</f>
        <v/>
      </c>
      <c r="J28" s="41">
        <f>IF($L28="","",ROUND($L28/'Parámetros'!$B$3,2))</f>
        <v/>
      </c>
      <c r="K28" s="41">
        <f>IF($L28="","",ROUND($L28/'Parámetros'!$B$3,2))</f>
        <v/>
      </c>
      <c r="L28" s="40" t="n">
        <v>137</v>
      </c>
      <c r="M28" s="37" t="inlineStr">
        <is>
          <t>Pendiente</t>
        </is>
      </c>
      <c r="N28" s="37" t="inlineStr"/>
      <c r="O28" s="42" t="inlineStr">
        <is>
          <t>https://ruter.no/en</t>
        </is>
      </c>
      <c r="P28" s="42" t="inlineStr">
        <is>
          <t>https://www.thelocal.no/20260316/is-the-oslo-pass-worth-getting-when-visiting-the-norwegian-capital · https://ruter.no/nyheter/alt-om-billettpriser</t>
        </is>
      </c>
    </row>
    <row r="29">
      <c r="A29" s="35" t="inlineStr">
        <is>
          <t>Visita</t>
        </is>
      </c>
      <c r="B29" s="36" t="n">
        <v>46313</v>
      </c>
      <c r="C29" s="37" t="inlineStr">
        <is>
          <t>Domingo</t>
        </is>
      </c>
      <c r="D29" s="37" t="inlineStr">
        <is>
          <t>10:45 - 12:00</t>
        </is>
      </c>
      <c r="E29" s="38" t="inlineStr">
        <is>
          <t>Parque Vigeland</t>
        </is>
      </c>
      <c r="F29" s="38" t="inlineStr">
        <is>
          <t>Gratis, abierto siempre. Metro hasta Majorstuen + 10 min a pie. Solo si los caminos no tienen hielo.</t>
        </is>
      </c>
      <c r="G29" s="41">
        <f>IF($L29="","",SUM(I29:K29))</f>
        <v/>
      </c>
      <c r="H29" s="39" t="n"/>
      <c r="I29" s="41">
        <f>IF($L29="","",ROUND($L29/'Parámetros'!$B$3,2))</f>
        <v/>
      </c>
      <c r="J29" s="41">
        <f>IF($L29="","",ROUND($L29/'Parámetros'!$B$3,2))</f>
        <v/>
      </c>
      <c r="K29" s="41">
        <f>IF($L29="","",ROUND($L29/'Parámetros'!$B$3,2))</f>
        <v/>
      </c>
      <c r="L29" s="40" t="n">
        <v>0</v>
      </c>
      <c r="M29" s="37" t="inlineStr">
        <is>
          <t>Previsto</t>
        </is>
      </c>
      <c r="N29" s="37" t="inlineStr">
        <is>
          <t>A</t>
        </is>
      </c>
      <c r="O29" s="42" t="inlineStr">
        <is>
          <t>https://www.visitoslo.com/en/product/?tlp=1818293&amp;name=Vigeland-Sculpture-Park</t>
        </is>
      </c>
      <c r="P29" s="38" t="n"/>
    </row>
    <row r="30">
      <c r="A30" s="35" t="inlineStr">
        <is>
          <t>Visita</t>
        </is>
      </c>
      <c r="B30" s="36" t="n">
        <v>46313</v>
      </c>
      <c r="C30" s="37" t="inlineStr">
        <is>
          <t>Domingo</t>
        </is>
      </c>
      <c r="D30" s="37" t="inlineStr">
        <is>
          <t>12:30 - 14:15</t>
        </is>
      </c>
      <c r="E30" s="38" t="inlineStr">
        <is>
          <t>Holmenkollen: museo del esquí + torre de salto</t>
        </is>
      </c>
      <c r="F30" s="38" t="inlineStr">
        <is>
          <t>Metro línea 1 desde Majorstuen (~20 min) + 10–15 min de subida a pie. Octubre: 10:00–16:00. 200 NOK (menores de 30: 150 NOK). La torre cierra del 13 al 16/10 por mantenimiento. Simulador de salto: 130 NOK aparte. Si hay niebla, no compensa: plan B.</t>
        </is>
      </c>
      <c r="G30" s="41">
        <f>IF($L30="","",SUM(I30:K30))</f>
        <v/>
      </c>
      <c r="H30" s="39" t="n"/>
      <c r="I30" s="41">
        <f>IF($L30="","",ROUND($L30/'Parámetros'!$B$3,2))</f>
        <v/>
      </c>
      <c r="J30" s="41">
        <f>IF($L30="","",ROUND($L30/'Parámetros'!$B$3,2))</f>
        <v/>
      </c>
      <c r="K30" s="41">
        <f>IF($L30="","",ROUND($L30/'Parámetros'!$B$3,2))</f>
        <v/>
      </c>
      <c r="L30" s="40" t="n">
        <v>200</v>
      </c>
      <c r="M30" s="37" t="inlineStr">
        <is>
          <t>Pendiente</t>
        </is>
      </c>
      <c r="N30" s="37" t="inlineStr">
        <is>
          <t>A</t>
        </is>
      </c>
      <c r="O30" s="42" t="inlineStr">
        <is>
          <t>https://holmenkollen.com/en/</t>
        </is>
      </c>
      <c r="P30" s="42" t="inlineStr">
        <is>
          <t>https://holmenkollen.com/en/apningstider/</t>
        </is>
      </c>
    </row>
    <row r="31">
      <c r="A31" s="35" t="inlineStr">
        <is>
          <t>Comida</t>
        </is>
      </c>
      <c r="B31" s="36" t="n">
        <v>46313</v>
      </c>
      <c r="C31" s="37" t="inlineStr">
        <is>
          <t>Domingo</t>
        </is>
      </c>
      <c r="D31" s="37" t="inlineStr">
        <is>
          <t>14:15 - 15:00</t>
        </is>
      </c>
      <c r="E31" s="38" t="inlineStr">
        <is>
          <t>Comida (Holmenkollen o centro)</t>
        </is>
      </c>
      <c r="F31" s="38" t="inlineStr">
        <is>
          <t>Estimación: almuerzo informal 120–220 NOK.</t>
        </is>
      </c>
      <c r="G31" s="41">
        <f>IF($L31="","",SUM(I31:K31))</f>
        <v/>
      </c>
      <c r="H31" s="39" t="n"/>
      <c r="I31" s="41">
        <f>IF($L31="","",ROUND($L31/'Parámetros'!$B$3,2))</f>
        <v/>
      </c>
      <c r="J31" s="41">
        <f>IF($L31="","",ROUND($L31/'Parámetros'!$B$3,2))</f>
        <v/>
      </c>
      <c r="K31" s="41">
        <f>IF($L31="","",ROUND($L31/'Parámetros'!$B$3,2))</f>
        <v/>
      </c>
      <c r="L31" s="40" t="n">
        <v>180</v>
      </c>
      <c r="M31" s="37" t="inlineStr">
        <is>
          <t>Estimación</t>
        </is>
      </c>
      <c r="N31" s="37" t="inlineStr"/>
      <c r="O31" s="38" t="n"/>
      <c r="P31" s="42" t="inlineStr">
        <is>
          <t>https://www.oslo-spirit.com/guides/oslo-daily-costs/</t>
        </is>
      </c>
    </row>
    <row r="32">
      <c r="A32" s="35" t="inlineStr">
        <is>
          <t>Café</t>
        </is>
      </c>
      <c r="B32" s="36" t="n">
        <v>46313</v>
      </c>
      <c r="C32" s="37" t="inlineStr">
        <is>
          <t>Domingo</t>
        </is>
      </c>
      <c r="D32" s="37" t="inlineStr">
        <is>
          <t>15:45 - 16:30</t>
        </is>
      </c>
      <c r="E32" s="38" t="inlineStr">
        <is>
          <t>Opcional: café en Aker Brygge / Tjuvholmen</t>
        </is>
      </c>
      <c r="F32" s="38" t="inlineStr">
        <is>
          <t>Café 50–65 NOK.</t>
        </is>
      </c>
      <c r="G32" s="41">
        <f>IF($L32="","",SUM(I32:K32))</f>
        <v/>
      </c>
      <c r="H32" s="39" t="n"/>
      <c r="I32" s="41">
        <f>IF($L32="","",ROUND($L32/'Parámetros'!$B$3,2))</f>
        <v/>
      </c>
      <c r="J32" s="41">
        <f>IF($L32="","",ROUND($L32/'Parámetros'!$B$3,2))</f>
        <v/>
      </c>
      <c r="K32" s="41">
        <f>IF($L32="","",ROUND($L32/'Parámetros'!$B$3,2))</f>
        <v/>
      </c>
      <c r="L32" s="40" t="n">
        <v>60</v>
      </c>
      <c r="M32" s="37" t="inlineStr">
        <is>
          <t>Opcional</t>
        </is>
      </c>
      <c r="N32" s="37" t="inlineStr"/>
      <c r="O32" s="38" t="n"/>
      <c r="P32" s="42" t="inlineStr">
        <is>
          <t>https://www.oslo-spirit.com/guides/oslo-daily-costs/</t>
        </is>
      </c>
    </row>
    <row r="33">
      <c r="A33" s="43" t="inlineStr">
        <is>
          <t>Visita</t>
        </is>
      </c>
      <c r="B33" s="44" t="n">
        <v>46313</v>
      </c>
      <c r="C33" s="45" t="inlineStr">
        <is>
          <t>Domingo</t>
        </is>
      </c>
      <c r="D33" s="45" t="inlineStr">
        <is>
          <t>11:00 - 14:45</t>
        </is>
      </c>
      <c r="E33" s="46" t="inlineStr">
        <is>
          <t>Alternativa (hielo, lluvia o niebla): Bygdøy — FRAM + Kon-Tiki</t>
        </is>
      </c>
      <c r="F33" s="46" t="inlineStr">
        <is>
          <t>Sustituye a Vigeland + Holmenkollen. Bus 30 (incluido en el billete de 24 h). Entrada combinada FRAM + Kon-Tiki: 325 NOK (sueltas: 180 NOK cada una). FRAM en octubre: 10:00–17:00.</t>
        </is>
      </c>
      <c r="G33" s="47">
        <f>IF($L33="","",SUM(I33:K33))</f>
        <v/>
      </c>
      <c r="H33" s="48" t="n"/>
      <c r="I33" s="47">
        <f>IF($L33="","",ROUND($L33/'Parámetros'!$B$3,2))</f>
        <v/>
      </c>
      <c r="J33" s="47">
        <f>IF($L33="","",ROUND($L33/'Parámetros'!$B$3,2))</f>
        <v/>
      </c>
      <c r="K33" s="47">
        <f>IF($L33="","",ROUND($L33/'Parámetros'!$B$3,2))</f>
        <v/>
      </c>
      <c r="L33" s="40" t="n">
        <v>325</v>
      </c>
      <c r="M33" s="45" t="inlineStr">
        <is>
          <t>Alternativa</t>
        </is>
      </c>
      <c r="N33" s="45" t="inlineStr">
        <is>
          <t>B</t>
        </is>
      </c>
      <c r="O33" s="42" t="inlineStr">
        <is>
          <t>https://frammuseum.no/en/plan-your-visit/</t>
        </is>
      </c>
      <c r="P33" s="42" t="inlineStr">
        <is>
          <t>https://frammuseum.no/en/plan-your-visit/ · https://www.kon-tiki.no/en/</t>
        </is>
      </c>
    </row>
    <row r="34">
      <c r="A34" s="43" t="inlineStr">
        <is>
          <t>Museo</t>
        </is>
      </c>
      <c r="B34" s="44" t="n">
        <v>46313</v>
      </c>
      <c r="C34" s="45" t="inlineStr">
        <is>
          <t>Domingo</t>
        </is>
      </c>
      <c r="D34" s="45" t="inlineStr">
        <is>
          <t>15:30 - 16:45</t>
        </is>
      </c>
      <c r="E34" s="46" t="inlineStr">
        <is>
          <t>Alternativa: MUNCH (si no se ha visitado)</t>
        </is>
      </c>
      <c r="F34" s="46" t="inlineStr">
        <is>
          <t>Plan B. El domingo cierra a las 18:00. 280 NOK.</t>
        </is>
      </c>
      <c r="G34" s="47">
        <f>IF($L34="","",SUM(I34:K34))</f>
        <v/>
      </c>
      <c r="H34" s="48" t="n"/>
      <c r="I34" s="47">
        <f>IF($L34="","",ROUND($L34/'Parámetros'!$B$3,2))</f>
        <v/>
      </c>
      <c r="J34" s="47">
        <f>IF($L34="","",ROUND($L34/'Parámetros'!$B$3,2))</f>
        <v/>
      </c>
      <c r="K34" s="47">
        <f>IF($L34="","",ROUND($L34/'Parámetros'!$B$3,2))</f>
        <v/>
      </c>
      <c r="L34" s="40" t="n">
        <v>280</v>
      </c>
      <c r="M34" s="45" t="inlineStr">
        <is>
          <t>Alternativa</t>
        </is>
      </c>
      <c r="N34" s="45" t="inlineStr">
        <is>
          <t>B</t>
        </is>
      </c>
      <c r="O34" s="42" t="inlineStr">
        <is>
          <t>https://munch.no/en/buy-tickets/</t>
        </is>
      </c>
      <c r="P34" s="42" t="inlineStr">
        <is>
          <t>https://www.munch.no/en/visit-us/opening-hours/</t>
        </is>
      </c>
    </row>
    <row r="35">
      <c r="A35" s="35" t="inlineStr">
        <is>
          <t>Consigna</t>
        </is>
      </c>
      <c r="B35" s="36" t="n">
        <v>46313</v>
      </c>
      <c r="C35" s="37" t="inlineStr">
        <is>
          <t>Domingo</t>
        </is>
      </c>
      <c r="D35" s="37" t="inlineStr">
        <is>
          <t>16:45 - 17:15</t>
        </is>
      </c>
      <c r="E35" s="38" t="inlineStr">
        <is>
          <t>Recoger las maletas en Oslo S</t>
        </is>
      </c>
      <c r="F35" s="38" t="inlineStr"/>
      <c r="G35" s="39" t="n"/>
      <c r="H35" s="39" t="n"/>
      <c r="I35" s="39" t="n"/>
      <c r="J35" s="39" t="n"/>
      <c r="K35" s="39" t="n"/>
      <c r="L35" s="40" t="n"/>
      <c r="M35" s="37" t="inlineStr">
        <is>
          <t>Previsto</t>
        </is>
      </c>
      <c r="N35" s="37" t="inlineStr"/>
      <c r="O35" s="38" t="n"/>
      <c r="P35" s="38" t="n"/>
    </row>
    <row r="36">
      <c r="A36" s="35" t="inlineStr">
        <is>
          <t>Tren</t>
        </is>
      </c>
      <c r="B36" s="36" t="n">
        <v>46313</v>
      </c>
      <c r="C36" s="37" t="inlineStr">
        <is>
          <t>Domingo</t>
        </is>
      </c>
      <c r="D36" s="37" t="inlineStr">
        <is>
          <t>17:30 - 18:10</t>
        </is>
      </c>
      <c r="E36" s="38" t="inlineStr">
        <is>
          <t>Tren OSLO a Drammen</t>
        </is>
      </c>
      <c r="F36" s="38" t="inlineStr">
        <is>
          <t>Vy, ~36 min, salidas cada 15 min aprox. 110–160 NOK (Minipris, más barato comprando antes). Antes figuraba 07:00–13:00: con check-out a las 10:00 y la consigna hasta las 17:00, el tren va por la tarde. Huelga: mirar la app por la mañana y, si hay cancelaciones, adelantar la salida.</t>
        </is>
      </c>
      <c r="G36" s="41">
        <f>IF($L36="","",SUM(I36:K36))</f>
        <v/>
      </c>
      <c r="H36" s="39" t="n"/>
      <c r="I36" s="41">
        <f>IF($L36="","",ROUND($L36/'Parámetros'!$B$3,2))</f>
        <v/>
      </c>
      <c r="J36" s="41">
        <f>IF($L36="","",ROUND($L36/'Parámetros'!$B$3,2))</f>
        <v/>
      </c>
      <c r="K36" s="41">
        <f>IF($L36="","",ROUND($L36/'Parámetros'!$B$3,2))</f>
        <v/>
      </c>
      <c r="L36" s="40" t="n">
        <v>135</v>
      </c>
      <c r="M36" s="37" t="inlineStr">
        <is>
          <t>Pendiente</t>
        </is>
      </c>
      <c r="N36" s="37" t="inlineStr"/>
      <c r="O36" s="42" t="inlineStr">
        <is>
          <t>https://www.vy.no/en</t>
        </is>
      </c>
      <c r="P36" s="42" t="inlineStr">
        <is>
          <t>https://www.rome2rio.com/s/Oslo/Drammen · https://www.vy.no/togstreik</t>
        </is>
      </c>
    </row>
    <row r="37">
      <c r="A37" s="35" t="inlineStr">
        <is>
          <t>Alojamiento</t>
        </is>
      </c>
      <c r="B37" s="36" t="n">
        <v>46313</v>
      </c>
      <c r="C37" s="37" t="inlineStr">
        <is>
          <t>Domingo</t>
        </is>
      </c>
      <c r="D37" s="37" t="inlineStr">
        <is>
          <t>18:15</t>
        </is>
      </c>
      <c r="E37" s="38" t="inlineStr">
        <is>
          <t>Check-in en Forenom Serviced Apartments Drammen</t>
        </is>
      </c>
      <c r="F37" s="38" t="inlineStr">
        <is>
          <t>Tollbugata 10–12, a 2–5 min a pie de Drammen stasjon. Check-in desde las 16:00. Cena con la compra del sábado.</t>
        </is>
      </c>
      <c r="G37" s="39" t="n"/>
      <c r="H37" s="39" t="n"/>
      <c r="I37" s="39" t="n"/>
      <c r="J37" s="39" t="n"/>
      <c r="K37" s="39" t="n"/>
      <c r="L37" s="40" t="n"/>
      <c r="M37" s="37" t="inlineStr">
        <is>
          <t>Previsto</t>
        </is>
      </c>
      <c r="N37" s="37" t="inlineStr"/>
      <c r="O37" s="42" t="inlineStr">
        <is>
          <t>https://www.visitnorway.com/listings/forenom-serviced-appartments-drammen/269387/</t>
        </is>
      </c>
      <c r="P37" s="38" t="n"/>
    </row>
    <row r="38">
      <c r="A38" s="2" t="inlineStr">
        <is>
          <t>Alojamiento</t>
        </is>
      </c>
      <c r="B38" s="3" t="inlineStr">
        <is>
          <t>18/10 al 20/10</t>
        </is>
      </c>
      <c r="C38" s="3" t="inlineStr">
        <is>
          <t>Varios</t>
        </is>
      </c>
      <c r="D38" s="3" t="inlineStr">
        <is>
          <t>16:00 - 11:00</t>
        </is>
      </c>
      <c r="E38" s="4" t="inlineStr">
        <is>
          <t>Forenom Serviced Apartments Drammen</t>
        </is>
      </c>
      <c r="F38" s="4" t="inlineStr"/>
      <c r="G38" s="5" t="n">
        <v>220.93</v>
      </c>
      <c r="H38" s="5" t="n"/>
      <c r="I38" s="5" t="n">
        <v>73.64</v>
      </c>
      <c r="J38" s="5" t="n">
        <v>73.64</v>
      </c>
      <c r="K38" s="5" t="n">
        <v>73.64</v>
      </c>
      <c r="L38" s="6" t="n"/>
      <c r="M38" s="3" t="inlineStr">
        <is>
          <t>Reservado</t>
        </is>
      </c>
      <c r="N38" s="3" t="inlineStr"/>
      <c r="O38" s="4" t="n"/>
      <c r="P38" s="4" t="n"/>
    </row>
    <row r="39">
      <c r="A39" s="2" t="inlineStr">
        <is>
          <t>Alojamiento</t>
        </is>
      </c>
      <c r="B39" s="3" t="inlineStr">
        <is>
          <t>18/10 al 24/10</t>
        </is>
      </c>
      <c r="C39" s="3" t="inlineStr">
        <is>
          <t>Varios</t>
        </is>
      </c>
      <c r="D39" s="3" t="inlineStr">
        <is>
          <t>16:00 - 11:00</t>
        </is>
      </c>
      <c r="E39" s="4" t="inlineStr">
        <is>
          <t>Forenom Serviced Apartments Drammen</t>
        </is>
      </c>
      <c r="F39" s="4" t="inlineStr"/>
      <c r="G39" s="5" t="n">
        <v>531.5599999999999</v>
      </c>
      <c r="H39" s="5" t="n">
        <v>88.59</v>
      </c>
      <c r="I39" s="5" t="n">
        <v>236.25</v>
      </c>
      <c r="J39" s="5" t="n">
        <v>236.25</v>
      </c>
      <c r="K39" s="5" t="n">
        <v>59.06</v>
      </c>
      <c r="L39" s="6" t="n"/>
      <c r="M39" s="3" t="inlineStr">
        <is>
          <t>Reservado</t>
        </is>
      </c>
      <c r="N39" s="3" t="inlineStr"/>
      <c r="O39" s="4" t="n"/>
      <c r="P39" s="4" t="n"/>
    </row>
    <row r="41">
      <c r="A41" s="49" t="inlineStr">
        <is>
          <t>PRESUPUESTO TOTAL</t>
        </is>
      </c>
      <c r="B41" s="50" t="n"/>
      <c r="C41" s="50" t="n"/>
      <c r="D41" s="50" t="n"/>
      <c r="E41" s="50" t="n"/>
      <c r="F41" s="51" t="inlineStr">
        <is>
          <t>Reservado + pendiente + estimaciones del plan A (sin opcionales ni alternativas)</t>
        </is>
      </c>
      <c r="G41" s="52">
        <f>SUM(I41:K41)</f>
        <v/>
      </c>
      <c r="H41" s="50" t="n"/>
      <c r="I41" s="52">
        <f>SUM(I2:I39)-SUMIF($M$2:$M$39,"Opcional",I2:I39)-SUMIF($M$2:$M$39,"Alternativa",I2:I39)</f>
        <v/>
      </c>
      <c r="J41" s="52">
        <f>SUM(J2:J39)-SUMIF($M$2:$M$39,"Opcional",J2:J39)-SUMIF($M$2:$M$39,"Alternativa",J2:J39)</f>
        <v/>
      </c>
      <c r="K41" s="52">
        <f>SUM(K2:K39)-SUMIF($M$2:$M$39,"Opcional",K2:K39)-SUMIF($M$2:$M$39,"Alternativa",K2:K39)</f>
        <v/>
      </c>
      <c r="L41" s="50" t="n"/>
      <c r="M41" s="50" t="n"/>
      <c r="N41" s="50" t="n"/>
      <c r="O41" s="50" t="n"/>
      <c r="P41" s="50" t="n"/>
    </row>
    <row r="42">
      <c r="A42" s="49" t="inlineStr">
        <is>
          <t>Ya reservado</t>
        </is>
      </c>
      <c r="B42" s="50" t="n"/>
      <c r="C42" s="50" t="n"/>
      <c r="D42" s="50" t="n"/>
      <c r="E42" s="50" t="n"/>
      <c r="F42" s="51" t="inlineStr">
        <is>
          <t>Lo que ya estaba pagado o reservado</t>
        </is>
      </c>
      <c r="G42" s="52">
        <f>SUM(I42:K42)</f>
        <v/>
      </c>
      <c r="H42" s="50" t="n"/>
      <c r="I42" s="52">
        <f>SUMIF($M$2:$M$39,"Reservado",I2:I39)</f>
        <v/>
      </c>
      <c r="J42" s="52">
        <f>SUMIF($M$2:$M$39,"Reservado",J2:J39)</f>
        <v/>
      </c>
      <c r="K42" s="52">
        <f>SUMIF($M$2:$M$39,"Reservado",K2:K39)</f>
        <v/>
      </c>
      <c r="L42" s="50" t="n"/>
      <c r="M42" s="50" t="n"/>
      <c r="N42" s="50" t="n"/>
      <c r="O42" s="50" t="n"/>
      <c r="P42" s="50" t="n"/>
    </row>
    <row r="43">
      <c r="A43" s="49" t="inlineStr">
        <is>
          <t>Falta por gastar (estimado)</t>
        </is>
      </c>
      <c r="B43" s="50" t="n"/>
      <c r="C43" s="50" t="n"/>
      <c r="D43" s="50" t="n"/>
      <c r="E43" s="50" t="n"/>
      <c r="F43" s="51" t="inlineStr">
        <is>
          <t>Billetes, entradas, consigna y comidas del fin de semana en Oslo</t>
        </is>
      </c>
      <c r="G43" s="52">
        <f>SUM(I43:K43)</f>
        <v/>
      </c>
      <c r="H43" s="50" t="n"/>
      <c r="I43" s="52">
        <f>I41-I42</f>
        <v/>
      </c>
      <c r="J43" s="52">
        <f>J41-J42</f>
        <v/>
      </c>
      <c r="K43" s="52">
        <f>K41-K42</f>
        <v/>
      </c>
      <c r="L43" s="50" t="n"/>
      <c r="M43" s="50" t="n"/>
      <c r="N43" s="50" t="n"/>
      <c r="O43" s="50" t="n"/>
      <c r="P43" s="50" t="n"/>
    </row>
    <row r="44">
      <c r="A44" s="49" t="inlineStr">
        <is>
          <t>Opcionales (si se hacen)</t>
        </is>
      </c>
      <c r="B44" s="50" t="n"/>
      <c r="C44" s="50" t="n"/>
      <c r="D44" s="50" t="n"/>
      <c r="E44" s="50" t="n"/>
      <c r="F44" s="51" t="inlineStr">
        <is>
          <t>MUNCH de tarde, consigna del viernes, auroras, café</t>
        </is>
      </c>
      <c r="G44" s="52">
        <f>SUM(I44:K44)</f>
        <v/>
      </c>
      <c r="H44" s="50" t="n"/>
      <c r="I44" s="52">
        <f>SUMIF($M$2:$M$39,"Opcional",I2:I39)</f>
        <v/>
      </c>
      <c r="J44" s="52">
        <f>SUMIF($M$2:$M$39,"Opcional",J2:J39)</f>
        <v/>
      </c>
      <c r="K44" s="52">
        <f>SUMIF($M$2:$M$39,"Opcional",K2:K39)</f>
        <v/>
      </c>
      <c r="L44" s="50" t="n"/>
      <c r="M44" s="50" t="n"/>
      <c r="N44" s="50" t="n"/>
      <c r="O44" s="50" t="n"/>
      <c r="P44" s="50" t="n"/>
    </row>
  </sheetData>
  <autoFilter ref="A1:P39"/>
  <dataValidations count="1">
    <dataValidation sqref="M2:M39" showDropDown="0" showInputMessage="0" showErrorMessage="0" allowBlank="1" type="list">
      <formula1>"Reservado,Pendiente,Estimación,Previsto,Opcional,Alternativa"</formula1>
    </dataValidation>
  </dataValidations>
  <hyperlinks>
    <hyperlink xmlns:r="http://schemas.openxmlformats.org/officeDocument/2006/relationships" ref="O4" r:id="rId1"/>
    <hyperlink xmlns:r="http://schemas.openxmlformats.org/officeDocument/2006/relationships" ref="P4" r:id="rId2"/>
    <hyperlink xmlns:r="http://schemas.openxmlformats.org/officeDocument/2006/relationships" ref="O5" r:id="rId3"/>
    <hyperlink xmlns:r="http://schemas.openxmlformats.org/officeDocument/2006/relationships" ref="P5" r:id="rId4"/>
    <hyperlink xmlns:r="http://schemas.openxmlformats.org/officeDocument/2006/relationships" ref="O6" r:id="rId5"/>
    <hyperlink xmlns:r="http://schemas.openxmlformats.org/officeDocument/2006/relationships" ref="P6" r:id="rId6"/>
    <hyperlink xmlns:r="http://schemas.openxmlformats.org/officeDocument/2006/relationships" ref="O7" r:id="rId7"/>
    <hyperlink xmlns:r="http://schemas.openxmlformats.org/officeDocument/2006/relationships" ref="P7" r:id="rId8"/>
    <hyperlink xmlns:r="http://schemas.openxmlformats.org/officeDocument/2006/relationships" ref="P8" r:id="rId9"/>
    <hyperlink xmlns:r="http://schemas.openxmlformats.org/officeDocument/2006/relationships" ref="O9" r:id="rId10"/>
    <hyperlink xmlns:r="http://schemas.openxmlformats.org/officeDocument/2006/relationships" ref="P12" r:id="rId11"/>
    <hyperlink xmlns:r="http://schemas.openxmlformats.org/officeDocument/2006/relationships" ref="O13" r:id="rId12"/>
    <hyperlink xmlns:r="http://schemas.openxmlformats.org/officeDocument/2006/relationships" ref="P13" r:id="rId13"/>
    <hyperlink xmlns:r="http://schemas.openxmlformats.org/officeDocument/2006/relationships" ref="P14" r:id="rId14"/>
    <hyperlink xmlns:r="http://schemas.openxmlformats.org/officeDocument/2006/relationships" ref="O15" r:id="rId15"/>
    <hyperlink xmlns:r="http://schemas.openxmlformats.org/officeDocument/2006/relationships" ref="O16" r:id="rId16"/>
    <hyperlink xmlns:r="http://schemas.openxmlformats.org/officeDocument/2006/relationships" ref="P16" r:id="rId17"/>
    <hyperlink xmlns:r="http://schemas.openxmlformats.org/officeDocument/2006/relationships" ref="O17" r:id="rId18"/>
    <hyperlink xmlns:r="http://schemas.openxmlformats.org/officeDocument/2006/relationships" ref="P17" r:id="rId19"/>
    <hyperlink xmlns:r="http://schemas.openxmlformats.org/officeDocument/2006/relationships" ref="O18" r:id="rId20"/>
    <hyperlink xmlns:r="http://schemas.openxmlformats.org/officeDocument/2006/relationships" ref="P18" r:id="rId21"/>
    <hyperlink xmlns:r="http://schemas.openxmlformats.org/officeDocument/2006/relationships" ref="P19" r:id="rId22"/>
    <hyperlink xmlns:r="http://schemas.openxmlformats.org/officeDocument/2006/relationships" ref="O20" r:id="rId23"/>
    <hyperlink xmlns:r="http://schemas.openxmlformats.org/officeDocument/2006/relationships" ref="P20" r:id="rId24"/>
    <hyperlink xmlns:r="http://schemas.openxmlformats.org/officeDocument/2006/relationships" ref="O21" r:id="rId25"/>
    <hyperlink xmlns:r="http://schemas.openxmlformats.org/officeDocument/2006/relationships" ref="P21" r:id="rId26"/>
    <hyperlink xmlns:r="http://schemas.openxmlformats.org/officeDocument/2006/relationships" ref="P23" r:id="rId27"/>
    <hyperlink xmlns:r="http://schemas.openxmlformats.org/officeDocument/2006/relationships" ref="P24" r:id="rId28"/>
    <hyperlink xmlns:r="http://schemas.openxmlformats.org/officeDocument/2006/relationships" ref="O25" r:id="rId29"/>
    <hyperlink xmlns:r="http://schemas.openxmlformats.org/officeDocument/2006/relationships" ref="P25" r:id="rId30"/>
    <hyperlink xmlns:r="http://schemas.openxmlformats.org/officeDocument/2006/relationships" ref="O27" r:id="rId31"/>
    <hyperlink xmlns:r="http://schemas.openxmlformats.org/officeDocument/2006/relationships" ref="P27" r:id="rId32"/>
    <hyperlink xmlns:r="http://schemas.openxmlformats.org/officeDocument/2006/relationships" ref="O28" r:id="rId33"/>
    <hyperlink xmlns:r="http://schemas.openxmlformats.org/officeDocument/2006/relationships" ref="P28" r:id="rId34"/>
    <hyperlink xmlns:r="http://schemas.openxmlformats.org/officeDocument/2006/relationships" ref="O29" r:id="rId35"/>
    <hyperlink xmlns:r="http://schemas.openxmlformats.org/officeDocument/2006/relationships" ref="O30" r:id="rId36"/>
    <hyperlink xmlns:r="http://schemas.openxmlformats.org/officeDocument/2006/relationships" ref="P30" r:id="rId37"/>
    <hyperlink xmlns:r="http://schemas.openxmlformats.org/officeDocument/2006/relationships" ref="P31" r:id="rId38"/>
    <hyperlink xmlns:r="http://schemas.openxmlformats.org/officeDocument/2006/relationships" ref="P32" r:id="rId39"/>
    <hyperlink xmlns:r="http://schemas.openxmlformats.org/officeDocument/2006/relationships" ref="O33" r:id="rId40"/>
    <hyperlink xmlns:r="http://schemas.openxmlformats.org/officeDocument/2006/relationships" ref="P33" r:id="rId41"/>
    <hyperlink xmlns:r="http://schemas.openxmlformats.org/officeDocument/2006/relationships" ref="O34" r:id="rId42"/>
    <hyperlink xmlns:r="http://schemas.openxmlformats.org/officeDocument/2006/relationships" ref="P34" r:id="rId43"/>
    <hyperlink xmlns:r="http://schemas.openxmlformats.org/officeDocument/2006/relationships" ref="O36" r:id="rId44"/>
    <hyperlink xmlns:r="http://schemas.openxmlformats.org/officeDocument/2006/relationships" ref="P36" r:id="rId45"/>
    <hyperlink xmlns:r="http://schemas.openxmlformats.org/officeDocument/2006/relationships" ref="O37" r:id="rId46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70" customWidth="1" min="3" max="3"/>
  </cols>
  <sheetData>
    <row r="1">
      <c r="A1" s="53" t="inlineStr">
        <is>
          <t>Parámetros y leyenda</t>
        </is>
      </c>
    </row>
    <row r="2"/>
    <row r="3">
      <c r="A3" t="inlineStr">
        <is>
          <t>Tipo de cambio (NOK por 1 €)</t>
        </is>
      </c>
      <c r="B3" s="54" t="n">
        <v>10.6955</v>
      </c>
      <c r="C3" t="inlineStr">
        <is>
          <t>Referencia del BCE del 12/10/2026. Si lo cambias, todos los costes en € se recalculan.</t>
        </is>
      </c>
    </row>
    <row r="4">
      <c r="A4" t="inlineStr">
        <is>
          <t>Fuente</t>
        </is>
      </c>
      <c r="B4" s="55" t="inlineStr">
        <is>
          <t>https://www.ecb.europa.eu/stats/policy_and_exchange_rates/euro_reference_exchange_rates/html/eurofxref-graph-nok.en.html</t>
        </is>
      </c>
    </row>
    <row r="5"/>
    <row r="6">
      <c r="A6" s="56" t="inlineStr">
        <is>
          <t>Estado</t>
        </is>
      </c>
      <c r="B6" s="56" t="inlineStr">
        <is>
          <t>Significado</t>
        </is>
      </c>
      <c r="C6" s="56" t="inlineStr">
        <is>
          <t>¿Suma en el total?</t>
        </is>
      </c>
    </row>
    <row r="7">
      <c r="A7" t="inlineStr">
        <is>
          <t>Reservado</t>
        </is>
      </c>
      <c r="B7" t="inlineStr">
        <is>
          <t>Ya pagado o reservado</t>
        </is>
      </c>
      <c r="C7" t="inlineStr">
        <is>
          <t>Sí</t>
        </is>
      </c>
    </row>
    <row r="8">
      <c r="A8" t="inlineStr">
        <is>
          <t>Pendiente</t>
        </is>
      </c>
      <c r="B8" t="inlineStr">
        <is>
          <t>Hay que comprarlo o reservarlo</t>
        </is>
      </c>
      <c r="C8" t="inlineStr">
        <is>
          <t>Sí</t>
        </is>
      </c>
    </row>
    <row r="9">
      <c r="A9" t="inlineStr">
        <is>
          <t>Estimación</t>
        </is>
      </c>
      <c r="B9" t="inlineStr">
        <is>
          <t>Gasto aproximado (comidas, supermercado)</t>
        </is>
      </c>
      <c r="C9" t="inlineStr">
        <is>
          <t>Sí</t>
        </is>
      </c>
    </row>
    <row r="10">
      <c r="A10" t="inlineStr">
        <is>
          <t>Previsto</t>
        </is>
      </c>
      <c r="B10" t="inlineStr">
        <is>
          <t>Actividad gratuita o sin nada que comprar</t>
        </is>
      </c>
      <c r="C10" t="inlineStr">
        <is>
          <t>Sí (0 €)</t>
        </is>
      </c>
    </row>
    <row r="11">
      <c r="A11" t="inlineStr">
        <is>
          <t>Opcional</t>
        </is>
      </c>
      <c r="B11" t="inlineStr">
        <is>
          <t>Solo si se hace</t>
        </is>
      </c>
      <c r="C11" t="inlineStr">
        <is>
          <t>No (aparece aparte)</t>
        </is>
      </c>
    </row>
    <row r="12">
      <c r="A12" t="inlineStr">
        <is>
          <t>Alternativa</t>
        </is>
      </c>
      <c r="B12" t="inlineStr">
        <is>
          <t>Sustituye a otra actividad si cambia el tiempo o hay huelga</t>
        </is>
      </c>
      <c r="C12" t="inlineStr">
        <is>
          <t>No</t>
        </is>
      </c>
    </row>
    <row r="13"/>
    <row r="14">
      <c r="A14" s="57" t="inlineStr">
        <is>
          <t>Cómo se usa</t>
        </is>
      </c>
    </row>
    <row r="15">
      <c r="A15" t="inlineStr">
        <is>
          <t>· La columna L (Precio por persona, NOK) está en azul: es el dato que se edita. Las columnas de coste por persona en € se calculan solas.</t>
        </is>
      </c>
    </row>
    <row r="16">
      <c r="A16" t="inlineStr">
        <is>
          <t>· Las filas de Seguro, Vuelo y Alojamiento son los datos originales de la hoja (en €), sin cambios.</t>
        </is>
      </c>
    </row>
    <row r="17">
      <c r="A17" t="inlineStr">
        <is>
          <t>· Precios consultados el 13/10/2026 en las fuentes de la columna P. Pueden cambiar: comprobar antes de comprar.</t>
        </is>
      </c>
    </row>
    <row r="18">
      <c r="A18" t="inlineStr">
        <is>
          <t>· Las filas en gris y cursiva son alternativas: aparecen con su precio para comparar, pero no suman.</t>
        </is>
      </c>
    </row>
    <row r="19">
      <c r="A19" t="inlineStr">
        <is>
          <t>· Colores de fondo: azul = viernes 16, verde = sábado 17, naranja = domingo 18.</t>
        </is>
      </c>
    </row>
  </sheetData>
  <hyperlinks>
    <hyperlink xmlns:r="http://schemas.openxmlformats.org/officeDocument/2006/relationships" ref="B4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53" t="inlineStr">
        <is>
          <t>Gasto por persona en Oslo (16–18 oct), plan A</t>
        </is>
      </c>
    </row>
    <row r="3">
      <c r="A3" s="58" t="inlineStr">
        <is>
          <t>Día</t>
        </is>
      </c>
      <c r="B3" s="58" t="inlineStr">
        <is>
          <t>Fecha</t>
        </is>
      </c>
      <c r="C3" s="58" t="inlineStr">
        <is>
          <t>Plan A (NOK)</t>
        </is>
      </c>
      <c r="D3" s="58" t="inlineStr">
        <is>
          <t>Plan A (€)</t>
        </is>
      </c>
      <c r="E3" s="58" t="inlineStr">
        <is>
          <t>Opcionales (NOK)</t>
        </is>
      </c>
      <c r="F3" s="58" t="inlineStr">
        <is>
          <t>Opcionales (€)</t>
        </is>
      </c>
    </row>
    <row r="4">
      <c r="A4" s="59" t="inlineStr">
        <is>
          <t>Viernes</t>
        </is>
      </c>
      <c r="B4" s="60" t="n">
        <v>46311</v>
      </c>
      <c r="C4" s="61">
        <f>SUMIFS(Presupuesto!$L$2:$L$39,Presupuesto!$B$2:$B$39,$B4,Presupuesto!$M$2:$M$39,"&lt;&gt;Opcional",Presupuesto!$M$2:$M$39,"&lt;&gt;Alternativa")</f>
        <v/>
      </c>
      <c r="D4" s="61">
        <f>C4/'Parámetros'!$B$3</f>
        <v/>
      </c>
      <c r="E4" s="61">
        <f>SUMIFS(Presupuesto!$L$2:$L$39,Presupuesto!$B$2:$B$39,$B4,Presupuesto!$M$2:$M$39,"Opcional")</f>
        <v/>
      </c>
      <c r="F4" s="61">
        <f>E4/'Parámetros'!$B$3</f>
        <v/>
      </c>
    </row>
    <row r="5">
      <c r="A5" s="59" t="inlineStr">
        <is>
          <t>Sábado</t>
        </is>
      </c>
      <c r="B5" s="60" t="n">
        <v>46312</v>
      </c>
      <c r="C5" s="61">
        <f>SUMIFS(Presupuesto!$L$2:$L$39,Presupuesto!$B$2:$B$39,$B5,Presupuesto!$M$2:$M$39,"&lt;&gt;Opcional",Presupuesto!$M$2:$M$39,"&lt;&gt;Alternativa")</f>
        <v/>
      </c>
      <c r="D5" s="61">
        <f>C5/'Parámetros'!$B$3</f>
        <v/>
      </c>
      <c r="E5" s="61">
        <f>SUMIFS(Presupuesto!$L$2:$L$39,Presupuesto!$B$2:$B$39,$B5,Presupuesto!$M$2:$M$39,"Opcional")</f>
        <v/>
      </c>
      <c r="F5" s="61">
        <f>E5/'Parámetros'!$B$3</f>
        <v/>
      </c>
    </row>
    <row r="6">
      <c r="A6" s="59" t="inlineStr">
        <is>
          <t>Domingo</t>
        </is>
      </c>
      <c r="B6" s="60" t="n">
        <v>46313</v>
      </c>
      <c r="C6" s="61">
        <f>SUMIFS(Presupuesto!$L$2:$L$39,Presupuesto!$B$2:$B$39,$B6,Presupuesto!$M$2:$M$39,"&lt;&gt;Opcional",Presupuesto!$M$2:$M$39,"&lt;&gt;Alternativa")</f>
        <v/>
      </c>
      <c r="D6" s="61">
        <f>C6/'Parámetros'!$B$3</f>
        <v/>
      </c>
      <c r="E6" s="61">
        <f>SUMIFS(Presupuesto!$L$2:$L$39,Presupuesto!$B$2:$B$39,$B6,Presupuesto!$M$2:$M$39,"Opcional")</f>
        <v/>
      </c>
      <c r="F6" s="61">
        <f>E6/'Parámetros'!$B$3</f>
        <v/>
      </c>
    </row>
    <row r="7">
      <c r="A7" s="59" t="inlineStr">
        <is>
          <t>Total por persona</t>
        </is>
      </c>
      <c r="B7" s="59" t="n"/>
      <c r="C7" s="61">
        <f>SUM(C4:C6)</f>
        <v/>
      </c>
      <c r="D7" s="61">
        <f>SUM(D4:D6)</f>
        <v/>
      </c>
      <c r="E7" s="61">
        <f>SUM(E4:E6)</f>
        <v/>
      </c>
      <c r="F7" s="61">
        <f>SUM(F4:F6)</f>
        <v/>
      </c>
    </row>
    <row r="8">
      <c r="A8" s="59" t="inlineStr">
        <is>
          <t>Total para los tres</t>
        </is>
      </c>
      <c r="B8" s="59" t="n"/>
      <c r="C8" s="61">
        <f>C7*3</f>
        <v/>
      </c>
      <c r="D8" s="61">
        <f>D7*3</f>
        <v/>
      </c>
      <c r="E8" s="61">
        <f>E7*3</f>
        <v/>
      </c>
      <c r="F8" s="61">
        <f>F7*3</f>
        <v/>
      </c>
    </row>
    <row r="10">
      <c r="A10" s="57" t="inlineStr">
        <is>
          <t>Si cambiamos de plan (diferencia por persona)</t>
        </is>
      </c>
    </row>
    <row r="11">
      <c r="A11" s="58" t="inlineStr">
        <is>
          <t>Cambio</t>
        </is>
      </c>
      <c r="B11" s="58" t="n"/>
      <c r="C11" s="58" t="inlineStr">
        <is>
          <t>NOK</t>
        </is>
      </c>
      <c r="D11" s="58" t="inlineStr">
        <is>
          <t>€</t>
        </is>
      </c>
    </row>
    <row r="12">
      <c r="A12" s="62" t="inlineStr">
        <is>
          <t>Flytoget en lugar del tren de Vy</t>
        </is>
      </c>
      <c r="B12" s="62" t="n"/>
      <c r="C12" s="63">
        <f>Presupuesto!L5-Presupuesto!L4</f>
        <v/>
      </c>
      <c r="D12" s="64">
        <f>C12/'Parámetros'!$B$3</f>
        <v/>
      </c>
    </row>
    <row r="13">
      <c r="A13" s="62" t="inlineStr">
        <is>
          <t>Flybussen en lugar del tren de Vy</t>
        </is>
      </c>
      <c r="B13" s="62" t="n"/>
      <c r="C13" s="63">
        <f>Presupuesto!L6-Presupuesto!L4</f>
        <v/>
      </c>
      <c r="D13" s="64">
        <f>C13/'Parámetros'!$B$3</f>
        <v/>
      </c>
    </row>
    <row r="14">
      <c r="A14" s="62" t="inlineStr">
        <is>
          <t>Hovedøya en lugar del crucero</t>
        </is>
      </c>
      <c r="B14" s="62" t="n"/>
      <c r="C14" s="63">
        <f>Presupuesto!L17-Presupuesto!L16</f>
        <v/>
      </c>
      <c r="D14" s="64">
        <f>C14/'Parámetros'!$B$3</f>
        <v/>
      </c>
    </row>
    <row r="15">
      <c r="A15" s="62" t="inlineStr">
        <is>
          <t>MUNCH en lugar del crucero (lluvia fuerte)</t>
        </is>
      </c>
      <c r="B15" s="62" t="n"/>
      <c r="C15" s="63">
        <f>Presupuesto!L18-Presupuesto!L16</f>
        <v/>
      </c>
      <c r="D15" s="64">
        <f>C15/'Parámetros'!$B$3</f>
        <v/>
      </c>
    </row>
    <row r="16">
      <c r="A16" s="62" t="inlineStr">
        <is>
          <t>FRAM + Kon-Tiki en lugar de Holmenkollen</t>
        </is>
      </c>
      <c r="B16" s="62" t="n"/>
      <c r="C16" s="63">
        <f>Presupuesto!L33-Presupuesto!L30</f>
        <v/>
      </c>
      <c r="D16" s="64">
        <f>C16/'Parámetros'!$B$3</f>
        <v/>
      </c>
    </row>
    <row r="17">
      <c r="A17" s="62" t="inlineStr">
        <is>
          <t>FRAM + Kon-Tiki + MUNCH en lugar de Holmenkollen</t>
        </is>
      </c>
      <c r="B17" s="62" t="n"/>
      <c r="C17" s="63">
        <f>Presupuesto!L33+Presupuesto!L34-Presupuesto!L30</f>
        <v/>
      </c>
      <c r="D17" s="64">
        <f>C17/'Parámetros'!$B$3</f>
        <v/>
      </c>
    </row>
    <row r="19">
      <c r="A19" s="65" t="inlineStr">
        <is>
          <t>Las cifras salen de la hoja Presupuesto (texto verde = enlace a otra hoja).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2026-10-13T11:54:47Z</dcterms:created>
  <dcterms:modified xsi:type="dcterms:W3CDTF">2026-10-13T11:54:47Z</dcterms:modified>
</cp:coreProperties>
</file>