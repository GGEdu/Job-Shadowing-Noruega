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os" sheetId="1" state="visible" r:id="rId1"/>
    <sheet name="Llamar (sin correo)" sheetId="2" state="visible" r:id="rId2"/>
    <sheet name="Leyenda" sheetId="3" state="visible" r:id="rId3"/>
  </sheets>
  <definedNames>
    <definedName name="_xlnm._FilterDatabase" localSheetId="0" hidden="1">'Contactos'!$A$1:$Y$58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7F7F7F"/>
      <sz val="10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AF1FB"/>
      </patternFill>
    </fill>
    <fill>
      <patternFill patternType="solid">
        <fgColor rgb="00FFF2CC"/>
      </patternFill>
    </fill>
    <fill>
      <patternFill patternType="solid">
        <fgColor rgb="00FDF3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1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164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1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left"/>
    </xf>
    <xf numFmtId="0" fontId="1" fillId="2" borderId="1" pivotButton="0" quotePrefix="0" xfId="0"/>
    <xf numFmtId="0" fontId="3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bacus-it.no/" TargetMode="External" Id="rId1" /><Relationship Type="http://schemas.openxmlformats.org/officeDocument/2006/relationships/hyperlink" Target="https://abacus-it.no/avdeling-drammen/" TargetMode="External" Id="rId2" /><Relationship Type="http://schemas.openxmlformats.org/officeDocument/2006/relationships/hyperlink" Target="https://www.cloudconnection.no/" TargetMode="External" Id="rId3" /><Relationship Type="http://schemas.openxmlformats.org/officeDocument/2006/relationships/hyperlink" Target="https://www.cloudconnection.no/kontakt" TargetMode="External" Id="rId4" /><Relationship Type="http://schemas.openxmlformats.org/officeDocument/2006/relationships/hyperlink" Target="https://www.ecit.com/no/" TargetMode="External" Id="rId5" /><Relationship Type="http://schemas.openxmlformats.org/officeDocument/2006/relationships/hyperlink" Target="https://www.ecit.com/no/" TargetMode="External" Id="rId6" /><Relationship Type="http://schemas.openxmlformats.org/officeDocument/2006/relationships/hyperlink" Target="http://www.on.no/" TargetMode="External" Id="rId7" /><Relationship Type="http://schemas.openxmlformats.org/officeDocument/2006/relationships/hyperlink" Target="http://www.on.no/" TargetMode="External" Id="rId8" /><Relationship Type="http://schemas.openxmlformats.org/officeDocument/2006/relationships/hyperlink" Target="https://vokser.no/" TargetMode="External" Id="rId9" /><Relationship Type="http://schemas.openxmlformats.org/officeDocument/2006/relationships/hyperlink" Target="https://www.1881.no/data-programvare-og-utvikling/data-programvare-og-utvikling-buskerud/data-programvare-og-utvikling-kongsberg/itumx-as_106150255S1/" TargetMode="External" Id="rId10" /><Relationship Type="http://schemas.openxmlformats.org/officeDocument/2006/relationships/hyperlink" Target="https://www.addovation.com/" TargetMode="External" Id="rId11" /><Relationship Type="http://schemas.openxmlformats.org/officeDocument/2006/relationships/hyperlink" Target="https://www.addovation.com/contact-us/" TargetMode="External" Id="rId12" /><Relationship Type="http://schemas.openxmlformats.org/officeDocument/2006/relationships/hyperlink" Target="https://gapit.io/" TargetMode="External" Id="rId13" /><Relationship Type="http://schemas.openxmlformats.org/officeDocument/2006/relationships/hyperlink" Target="https://gapit.io/contact" TargetMode="External" Id="rId14" /><Relationship Type="http://schemas.openxmlformats.org/officeDocument/2006/relationships/hyperlink" Target="https://peritus.no/" TargetMode="External" Id="rId15" /><Relationship Type="http://schemas.openxmlformats.org/officeDocument/2006/relationships/hyperlink" Target="https://www.1881.no/konsulenter-dataprogramvare-og-utvikling/konsulenter-dataprogramvare-og-utvikling-buskerud/konsulenter-dataprogramvare-og-utvikling-drammen/peritus-as_100558922S3/" TargetMode="External" Id="rId16" /><Relationship Type="http://schemas.openxmlformats.org/officeDocument/2006/relationships/hyperlink" Target="https://wingmen.no/" TargetMode="External" Id="rId17" /><Relationship Type="http://schemas.openxmlformats.org/officeDocument/2006/relationships/hyperlink" Target="https://wingmen.no/kontakt/" TargetMode="External" Id="rId18" /><Relationship Type="http://schemas.openxmlformats.org/officeDocument/2006/relationships/hyperlink" Target="https://luminus.no/" TargetMode="External" Id="rId19" /><Relationship Type="http://schemas.openxmlformats.org/officeDocument/2006/relationships/hyperlink" Target="https://www.1881.no/webdesign/webdesign-buskerud/webdesign-drammen/luminus-webkommunikasjon_101437661S1/" TargetMode="External" Id="rId20" /><Relationship Type="http://schemas.openxmlformats.org/officeDocument/2006/relationships/hyperlink" Target="https://www.netsolution.no/" TargetMode="External" Id="rId21" /><Relationship Type="http://schemas.openxmlformats.org/officeDocument/2006/relationships/hyperlink" Target="https://www.netsolution.no/kontakt" TargetMode="External" Id="rId22" /><Relationship Type="http://schemas.openxmlformats.org/officeDocument/2006/relationships/hyperlink" Target="https://knf.kongsberg.no/" TargetMode="External" Id="rId23" /><Relationship Type="http://schemas.openxmlformats.org/officeDocument/2006/relationships/hyperlink" Target="https://knf.kongsberg.no/" TargetMode="External" Id="rId24" /><Relationship Type="http://schemas.openxmlformats.org/officeDocument/2006/relationships/hyperlink" Target="https://nfdr.no/" TargetMode="External" Id="rId25" /><Relationship Type="http://schemas.openxmlformats.org/officeDocument/2006/relationships/hyperlink" Target="https://nfdr.no/kontakt" TargetMode="External" Id="rId26" /><Relationship Type="http://schemas.openxmlformats.org/officeDocument/2006/relationships/hyperlink" Target="https://bfk.no/" TargetMode="External" Id="rId27" /><Relationship Type="http://schemas.openxmlformats.org/officeDocument/2006/relationships/hyperlink" Target="https://bfk.no/om-fylkeskommunen/kontaktinformasjon/" TargetMode="External" Id="rId28" /><Relationship Type="http://schemas.openxmlformats.org/officeDocument/2006/relationships/hyperlink" Target="https://www.drammen.kommune.no/" TargetMode="External" Id="rId29" /><Relationship Type="http://schemas.openxmlformats.org/officeDocument/2006/relationships/hyperlink" Target="https://www.drammen.kommune.no/" TargetMode="External" Id="rId30" /><Relationship Type="http://schemas.openxmlformats.org/officeDocument/2006/relationships/hyperlink" Target="https://www.usn.no/" TargetMode="External" Id="rId31" /><Relationship Type="http://schemas.openxmlformats.org/officeDocument/2006/relationships/hyperlink" Target="https://www.usn.no/english/about/contact-us" TargetMode="External" Id="rId32" /><Relationship Type="http://schemas.openxmlformats.org/officeDocument/2006/relationships/hyperlink" Target="https://www.maksimer.no/" TargetMode="External" Id="rId33" /><Relationship Type="http://schemas.openxmlformats.org/officeDocument/2006/relationships/hyperlink" Target="https://www.maksimer.no/" TargetMode="External" Id="rId34" /><Relationship Type="http://schemas.openxmlformats.org/officeDocument/2006/relationships/hyperlink" Target="https://ramsalt.com/" TargetMode="External" Id="rId35" /><Relationship Type="http://schemas.openxmlformats.org/officeDocument/2006/relationships/hyperlink" Target="https://ramsalt.com/en/about" TargetMode="External" Id="rId36" /><Relationship Type="http://schemas.openxmlformats.org/officeDocument/2006/relationships/hyperlink" Target="https://represent.no/" TargetMode="External" Id="rId37" /><Relationship Type="http://schemas.openxmlformats.org/officeDocument/2006/relationships/hyperlink" Target="https://represent.no/contact" TargetMode="External" Id="rId38" /><Relationship Type="http://schemas.openxmlformats.org/officeDocument/2006/relationships/hyperlink" Target="https://www.skalar.no/" TargetMode="External" Id="rId39" /><Relationship Type="http://schemas.openxmlformats.org/officeDocument/2006/relationships/hyperlink" Target="https://www.1881.no/data-programvare-og-utvikling/data-programvare-og-utvikling-oslo/data-programvare-og-utvikling-grunerloekka/skalar-as_101306389S1/" TargetMode="External" Id="rId40" /><Relationship Type="http://schemas.openxmlformats.org/officeDocument/2006/relationships/hyperlink" Target="https://www.statnett.no/" TargetMode="External" Id="rId41" /><Relationship Type="http://schemas.openxmlformats.org/officeDocument/2006/relationships/hyperlink" Target="https://www.statnett.no/karriere/laerling-i-statnett/" TargetMode="External" Id="rId42" /><Relationship Type="http://schemas.openxmlformats.org/officeDocument/2006/relationships/hyperlink" Target="https://www.appsalon.no/" TargetMode="External" Id="rId43" /><Relationship Type="http://schemas.openxmlformats.org/officeDocument/2006/relationships/hyperlink" Target="https://www.appsalon.no/pages/kontakt-oss" TargetMode="External" Id="rId44" /><Relationship Type="http://schemas.openxmlformats.org/officeDocument/2006/relationships/hyperlink" Target="https://www.arribatec.com/" TargetMode="External" Id="rId45" /><Relationship Type="http://schemas.openxmlformats.org/officeDocument/2006/relationships/hyperlink" Target="https://www.arribatec.com/" TargetMode="External" Id="rId46" /><Relationship Type="http://schemas.openxmlformats.org/officeDocument/2006/relationships/hyperlink" Target="https://bakkenbaeck.com/" TargetMode="External" Id="rId47" /><Relationship Type="http://schemas.openxmlformats.org/officeDocument/2006/relationships/hyperlink" Target="https://bakkenbaeck.com/a-z" TargetMode="External" Id="rId48" /><Relationship Type="http://schemas.openxmlformats.org/officeDocument/2006/relationships/hyperlink" Target="https://www.bekk.no/" TargetMode="External" Id="rId49" /><Relationship Type="http://schemas.openxmlformats.org/officeDocument/2006/relationships/hyperlink" Target="https://www.bekk.no/kontakt" TargetMode="External" Id="rId50" /><Relationship Type="http://schemas.openxmlformats.org/officeDocument/2006/relationships/hyperlink" Target="https://enonic.com/" TargetMode="External" Id="rId51" /><Relationship Type="http://schemas.openxmlformats.org/officeDocument/2006/relationships/hyperlink" Target="https://enonic.com/contact" TargetMode="External" Id="rId52" /><Relationship Type="http://schemas.openxmlformats.org/officeDocument/2006/relationships/hyperlink" Target="https://increo.no/" TargetMode="External" Id="rId53" /><Relationship Type="http://schemas.openxmlformats.org/officeDocument/2006/relationships/hyperlink" Target="https://increo.no/en/contact" TargetMode="External" Id="rId54" /><Relationship Type="http://schemas.openxmlformats.org/officeDocument/2006/relationships/hyperlink" Target="https://www.kantega.no/" TargetMode="External" Id="rId55" /><Relationship Type="http://schemas.openxmlformats.org/officeDocument/2006/relationships/hyperlink" Target="https://www.kantega.no/kontakt" TargetMode="External" Id="rId56" /><Relationship Type="http://schemas.openxmlformats.org/officeDocument/2006/relationships/hyperlink" Target="https://www.mediabooster.no/" TargetMode="External" Id="rId57" /><Relationship Type="http://schemas.openxmlformats.org/officeDocument/2006/relationships/hyperlink" Target="https://www.mediabooster.no/" TargetMode="External" Id="rId58" /><Relationship Type="http://schemas.openxmlformats.org/officeDocument/2006/relationships/hyperlink" Target="https://www.netlight.com/" TargetMode="External" Id="rId59" /><Relationship Type="http://schemas.openxmlformats.org/officeDocument/2006/relationships/hyperlink" Target="https://www.netlight.com/contact/" TargetMode="External" Id="rId60" /><Relationship Type="http://schemas.openxmlformats.org/officeDocument/2006/relationships/hyperlink" Target="https://www.nettfokus.no/" TargetMode="External" Id="rId61" /><Relationship Type="http://schemas.openxmlformats.org/officeDocument/2006/relationships/hyperlink" Target="https://www.nettfokus.no/" TargetMode="External" Id="rId62" /><Relationship Type="http://schemas.openxmlformats.org/officeDocument/2006/relationships/hyperlink" Target="https://a2n.no/" TargetMode="External" Id="rId63" /><Relationship Type="http://schemas.openxmlformats.org/officeDocument/2006/relationships/hyperlink" Target="https://a2n.no/" TargetMode="External" Id="rId64" /><Relationship Type="http://schemas.openxmlformats.org/officeDocument/2006/relationships/hyperlink" Target="https://www.anti.as/" TargetMode="External" Id="rId65" /><Relationship Type="http://schemas.openxmlformats.org/officeDocument/2006/relationships/hyperlink" Target="https://www.anti.as/" TargetMode="External" Id="rId66" /><Relationship Type="http://schemas.openxmlformats.org/officeDocument/2006/relationships/hyperlink" Target="https://www.computas.com/" TargetMode="External" Id="rId67" /><Relationship Type="http://schemas.openxmlformats.org/officeDocument/2006/relationships/hyperlink" Target="https://www.computas.com/" TargetMode="External" Id="rId68" /><Relationship Type="http://schemas.openxmlformats.org/officeDocument/2006/relationships/hyperlink" Target="https://www.fink.no/" TargetMode="External" Id="rId69" /><Relationship Type="http://schemas.openxmlformats.org/officeDocument/2006/relationships/hyperlink" Target="https://www.fink.no/" TargetMode="External" Id="rId70" /><Relationship Type="http://schemas.openxmlformats.org/officeDocument/2006/relationships/hyperlink" Target="https://frontkom.com/" TargetMode="External" Id="rId71" /><Relationship Type="http://schemas.openxmlformats.org/officeDocument/2006/relationships/hyperlink" Target="https://frontkom.com/contact" TargetMode="External" Id="rId72" /><Relationship Type="http://schemas.openxmlformats.org/officeDocument/2006/relationships/hyperlink" Target="https://www.halogen.no/" TargetMode="External" Id="rId73" /><Relationship Type="http://schemas.openxmlformats.org/officeDocument/2006/relationships/hyperlink" Target="https://www.halogen.no/" TargetMode="External" Id="rId74" /><Relationship Type="http://schemas.openxmlformats.org/officeDocument/2006/relationships/hyperlink" Target="https://heydays.no/" TargetMode="External" Id="rId75" /><Relationship Type="http://schemas.openxmlformats.org/officeDocument/2006/relationships/hyperlink" Target="https://heydays.no/" TargetMode="External" Id="rId76" /><Relationship Type="http://schemas.openxmlformats.org/officeDocument/2006/relationships/hyperlink" Target="https://www.iterate.no/" TargetMode="External" Id="rId77" /><Relationship Type="http://schemas.openxmlformats.org/officeDocument/2006/relationships/hyperlink" Target="https://www.iterate.no/" TargetMode="External" Id="rId78" /><Relationship Type="http://schemas.openxmlformats.org/officeDocument/2006/relationships/hyperlink" Target="https://www.knowit.no/" TargetMode="External" Id="rId79" /><Relationship Type="http://schemas.openxmlformats.org/officeDocument/2006/relationships/hyperlink" Target="https://www.knowit.no/kontakt/" TargetMode="External" Id="rId80" /><Relationship Type="http://schemas.openxmlformats.org/officeDocument/2006/relationships/hyperlink" Target="https://www.kodeworks.no/" TargetMode="External" Id="rId81" /><Relationship Type="http://schemas.openxmlformats.org/officeDocument/2006/relationships/hyperlink" Target="https://www.kodeworks.no/" TargetMode="External" Id="rId82" /><Relationship Type="http://schemas.openxmlformats.org/officeDocument/2006/relationships/hyperlink" Target="https://www.m51.no/" TargetMode="External" Id="rId83" /><Relationship Type="http://schemas.openxmlformats.org/officeDocument/2006/relationships/hyperlink" Target="https://www.m51.no/kontakt" TargetMode="External" Id="rId84" /><Relationship Type="http://schemas.openxmlformats.org/officeDocument/2006/relationships/hyperlink" Target="https://www.miles.no/" TargetMode="External" Id="rId85" /><Relationship Type="http://schemas.openxmlformats.org/officeDocument/2006/relationships/hyperlink" Target="https://www.miles.no/kontakt-oss" TargetMode="External" Id="rId86" /><Relationship Type="http://schemas.openxmlformats.org/officeDocument/2006/relationships/hyperlink" Target="https://www.soprasteria.no/" TargetMode="External" Id="rId87" /><Relationship Type="http://schemas.openxmlformats.org/officeDocument/2006/relationships/hyperlink" Target="https://www.soprasteria.no/kontakt-oss" TargetMode="External" Id="rId88" /><Relationship Type="http://schemas.openxmlformats.org/officeDocument/2006/relationships/hyperlink" Target="https://www.variant.no/" TargetMode="External" Id="rId89" /><Relationship Type="http://schemas.openxmlformats.org/officeDocument/2006/relationships/hyperlink" Target="https://www.variant.no/" TargetMode="External" Id="rId90" /><Relationship Type="http://schemas.openxmlformats.org/officeDocument/2006/relationships/hyperlink" Target="https://www.yttr.ai/" TargetMode="External" Id="rId91" /><Relationship Type="http://schemas.openxmlformats.org/officeDocument/2006/relationships/hyperlink" Target="https://www.yttr.ai/" TargetMode="External" Id="rId92" /><Relationship Type="http://schemas.openxmlformats.org/officeDocument/2006/relationships/hyperlink" Target="https://www.aofok.no/" TargetMode="External" Id="rId93" /><Relationship Type="http://schemas.openxmlformats.org/officeDocument/2006/relationships/hyperlink" Target="https://www.aofok.no/kontakt-oss" TargetMode="External" Id="rId94" /><Relationship Type="http://schemas.openxmlformats.org/officeDocument/2006/relationships/hyperlink" Target="https://oiw.no/" TargetMode="External" Id="rId95" /><Relationship Type="http://schemas.openxmlformats.org/officeDocument/2006/relationships/hyperlink" Target="https://oiw.no/faq" TargetMode="External" Id="rId96" /><Relationship Type="http://schemas.openxmlformats.org/officeDocument/2006/relationships/hyperlink" Target="https://www.abelia.no/" TargetMode="External" Id="rId97" /><Relationship Type="http://schemas.openxmlformats.org/officeDocument/2006/relationships/hyperlink" Target="https://www.abelia.no/kontakt-oss/" TargetMode="External" Id="rId98" /><Relationship Type="http://schemas.openxmlformats.org/officeDocument/2006/relationships/hyperlink" Target="https://hellerud.vgs.no/" TargetMode="External" Id="rId99" /><Relationship Type="http://schemas.openxmlformats.org/officeDocument/2006/relationships/hyperlink" Target="https://hellerud.vgs.no/" TargetMode="External" Id="rId100" /><Relationship Type="http://schemas.openxmlformats.org/officeDocument/2006/relationships/hyperlink" Target="https://forskningsparken.no/" TargetMode="External" Id="rId101" /><Relationship Type="http://schemas.openxmlformats.org/officeDocument/2006/relationships/hyperlink" Target="https://forskningsparken.no/en/about/kontakt" TargetMode="External" Id="rId102" /><Relationship Type="http://schemas.openxmlformats.org/officeDocument/2006/relationships/hyperlink" Target="https://www.osloandco.no/" TargetMode="External" Id="rId103" /><Relationship Type="http://schemas.openxmlformats.org/officeDocument/2006/relationships/hyperlink" Target="https://www.osloandco.no/" TargetMode="External" Id="rId104" /><Relationship Type="http://schemas.openxmlformats.org/officeDocument/2006/relationships/hyperlink" Target="https://startuplab.no/" TargetMode="External" Id="rId105" /><Relationship Type="http://schemas.openxmlformats.org/officeDocument/2006/relationships/hyperlink" Target="https://startuplab.no/" TargetMode="External" Id="rId106" /><Relationship Type="http://schemas.openxmlformats.org/officeDocument/2006/relationships/hyperlink" Target="https://www.oslomet.no/" TargetMode="External" Id="rId107" /><Relationship Type="http://schemas.openxmlformats.org/officeDocument/2006/relationships/hyperlink" Target="https://www.oslomet.no/en/about/lui/ylu" TargetMode="External" Id="rId108" /><Relationship Type="http://schemas.openxmlformats.org/officeDocument/2006/relationships/hyperlink" Target="https://www.uio.no/" TargetMode="External" Id="rId109" /><Relationship Type="http://schemas.openxmlformats.org/officeDocument/2006/relationships/hyperlink" Target="https://www.uio.no/english/about/global/contact.html" TargetMode="External" Id="rId110" /><Relationship Type="http://schemas.openxmlformats.org/officeDocument/2006/relationships/hyperlink" Target="https://www.uio.no/link/" TargetMode="External" Id="rId111" /><Relationship Type="http://schemas.openxmlformats.org/officeDocument/2006/relationships/hyperlink" Target="https://www.uio.no/link/english/about/contact/" TargetMode="External" Id="rId112" /><Relationship Type="http://schemas.openxmlformats.org/officeDocument/2006/relationships/hyperlink" Target="https://www.uv.uio.no/" TargetMode="External" Id="rId113" /><Relationship Type="http://schemas.openxmlformats.org/officeDocument/2006/relationships/hyperlink" Target="https://uv.uio.no/english/about/contact/" TargetMode="External" Id="rId114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1881.no/" TargetMode="External" Id="rId1" /><Relationship Type="http://schemas.openxmlformats.org/officeDocument/2006/relationships/hyperlink" Target="https://www.finn.no/452789601" TargetMode="External" Id="rId2" /><Relationship Type="http://schemas.openxmlformats.org/officeDocument/2006/relationships/hyperlink" Target="https://www.1881.no/" TargetMode="External" Id="rId3" /><Relationship Type="http://schemas.openxmlformats.org/officeDocument/2006/relationships/hyperlink" Target="https://www.1881.no/" TargetMode="External" Id="rId4" /><Relationship Type="http://schemas.openxmlformats.org/officeDocument/2006/relationships/hyperlink" Target="https://www.1881.no/" TargetMode="External" Id="rId5" /><Relationship Type="http://schemas.openxmlformats.org/officeDocument/2006/relationships/hyperlink" Target="https://www.atea.no/" TargetMode="External" Id="rId6" /><Relationship Type="http://schemas.openxmlformats.org/officeDocument/2006/relationships/hyperlink" Target="https://www.1881.no/data-programvare-og-utvikling/data-programvare-og-utvikling-oslo/data-programvare-og-utvikling-oslo-sentrum/dekode-interaktiv-as_103161950S1/" TargetMode="External" Id="rId7" /><Relationship Type="http://schemas.openxmlformats.org/officeDocument/2006/relationships/hyperlink" Target="https://konstant.no/" TargetMode="External" Id="rId8" /><Relationship Type="http://schemas.openxmlformats.org/officeDocument/2006/relationships/hyperlink" Target="https://www.capgemini.com/no-no/contact-us/" TargetMode="External" Id="rId9" /><Relationship Type="http://schemas.openxmlformats.org/officeDocument/2006/relationships/hyperlink" Target="https://metronet.no/" TargetMode="External" Id="rId10" /><Relationship Type="http://schemas.openxmlformats.org/officeDocument/2006/relationships/hyperlink" Target="https://www.stratema.com/kontakt/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17" customWidth="1" min="3" max="3"/>
    <col width="12" customWidth="1" min="4" max="4"/>
    <col width="20" customWidth="1" min="5" max="5"/>
    <col width="9" customWidth="1" min="6" max="6"/>
    <col width="11" customWidth="1" min="7" max="7"/>
    <col width="10" customWidth="1" min="8" max="8"/>
    <col width="30" customWidth="1" min="9" max="9"/>
    <col width="32" customWidth="1" min="10" max="10"/>
    <col width="26" customWidth="1" min="11" max="11"/>
    <col width="20" customWidth="1" min="12" max="12"/>
    <col width="44" customWidth="1" min="13" max="13"/>
    <col width="34" customWidth="1" min="14" max="14"/>
    <col width="28" customWidth="1" min="15" max="15"/>
    <col width="30" customWidth="1" min="16" max="16"/>
    <col width="26" customWidth="1" min="17" max="17"/>
    <col width="15" customWidth="1" min="18" max="18"/>
    <col width="30" customWidth="1" min="19" max="19"/>
    <col width="34" customWidth="1" min="20" max="20"/>
    <col width="36" customWidth="1" min="21" max="21"/>
    <col width="16" customWidth="1" min="22" max="22"/>
    <col width="12" customWidth="1" min="23" max="23"/>
    <col width="30" customWidth="1" min="24" max="24"/>
    <col width="20" customWidth="1" min="25" max="25"/>
  </cols>
  <sheetData>
    <row r="1">
      <c r="A1" s="1" t="inlineStr">
        <is>
          <t>Nº</t>
        </is>
      </c>
      <c r="B1" s="1" t="inlineStr">
        <is>
          <t>Responsable</t>
        </is>
      </c>
      <c r="C1" s="1" t="inlineStr">
        <is>
          <t>Días de visita</t>
        </is>
      </c>
      <c r="D1" s="1" t="inlineStr">
        <is>
          <t>Enviar ahora</t>
        </is>
      </c>
      <c r="E1" s="1" t="inlineStr">
        <is>
          <t>Correo a usar</t>
        </is>
      </c>
      <c r="F1" s="1" t="inlineStr">
        <is>
          <t>Prioridad</t>
        </is>
      </c>
      <c r="G1" s="1" t="inlineStr">
        <is>
          <t>Tipo</t>
        </is>
      </c>
      <c r="H1" s="1" t="inlineStr">
        <is>
          <t>Ciudad</t>
        </is>
      </c>
      <c r="I1" s="1" t="inlineStr">
        <is>
          <t>Organización</t>
        </is>
      </c>
      <c r="J1" s="1" t="inlineStr">
        <is>
          <t>Email</t>
        </is>
      </c>
      <c r="K1" s="1" t="inlineStr">
        <is>
          <t>CC</t>
        </is>
      </c>
      <c r="L1" s="1" t="inlineStr">
        <is>
          <t>Tipo de email</t>
        </is>
      </c>
      <c r="M1" s="1" t="inlineStr">
        <is>
          <t>Personalización / tema (inglés)</t>
        </is>
      </c>
      <c r="N1" s="1" t="inlineStr">
        <is>
          <t>Qué hace</t>
        </is>
      </c>
      <c r="O1" s="1" t="inlineStr">
        <is>
          <t>Relación con DAW</t>
        </is>
      </c>
      <c r="P1" s="1" t="inlineStr">
        <is>
          <t>Aprendices / prácticas</t>
        </is>
      </c>
      <c r="Q1" s="1" t="inlineStr">
        <is>
          <t>Web</t>
        </is>
      </c>
      <c r="R1" s="1" t="inlineStr">
        <is>
          <t>Teléfono</t>
        </is>
      </c>
      <c r="S1" s="1" t="inlineStr">
        <is>
          <t>Dirección</t>
        </is>
      </c>
      <c r="T1" s="1" t="inlineStr">
        <is>
          <t>Fuente del email</t>
        </is>
      </c>
      <c r="U1" s="1" t="inlineStr">
        <is>
          <t>Notas</t>
        </is>
      </c>
      <c r="V1" s="1" t="inlineStr">
        <is>
          <t>Estado</t>
        </is>
      </c>
      <c r="W1" s="1" t="inlineStr">
        <is>
          <t>Fecha envío</t>
        </is>
      </c>
      <c r="X1" s="1" t="inlineStr">
        <is>
          <t>Respuesta</t>
        </is>
      </c>
      <c r="Y1" s="1" t="inlineStr">
        <is>
          <t>Visita (día y hora)</t>
        </is>
      </c>
    </row>
    <row r="2">
      <c r="A2" s="2" t="n">
        <v>1</v>
      </c>
      <c r="B2" s="2" t="inlineStr">
        <is>
          <t>Docente Drammen</t>
        </is>
      </c>
      <c r="C2" s="2" t="inlineStr">
        <is>
          <t>Mar 20 – mié 21 oct</t>
        </is>
      </c>
      <c r="D2" s="2" t="inlineStr">
        <is>
          <t>Sí</t>
        </is>
      </c>
      <c r="E2" s="2" t="inlineStr">
        <is>
          <t>1 · Empresas Drammen</t>
        </is>
      </c>
      <c r="F2" s="2" t="inlineStr">
        <is>
          <t>A</t>
        </is>
      </c>
      <c r="G2" s="2" t="inlineStr">
        <is>
          <t>Empresa</t>
        </is>
      </c>
      <c r="H2" s="2" t="inlineStr">
        <is>
          <t>Drammen</t>
        </is>
      </c>
      <c r="I2" s="3" t="inlineStr">
        <is>
          <t>Abacus-IT (Drammen)</t>
        </is>
      </c>
      <c r="J2" s="2" t="inlineStr">
        <is>
          <t>support@abacus-it.no</t>
        </is>
      </c>
      <c r="K2" s="2" t="n"/>
      <c r="L2" s="2" t="inlineStr">
        <is>
          <t>Genérico (soporte)</t>
        </is>
      </c>
      <c r="M2" s="4" t="inlineStr">
        <is>
          <t>learn how your Drammen office combines software development, business systems and infrastructure</t>
        </is>
      </c>
      <c r="N2" s="4" t="inlineStr">
        <is>
          <t>IT, sistemas de gestión, desarrollo e infraestructura</t>
        </is>
      </c>
      <c r="O2" s="4" t="inlineStr">
        <is>
          <t>Desarrollo y sistemas de negocio</t>
        </is>
      </c>
      <c r="P2" s="4" t="inlineStr">
        <is>
          <t>No confirmado</t>
        </is>
      </c>
      <c r="Q2" s="5" t="inlineStr">
        <is>
          <t>https://abacus-it.no/</t>
        </is>
      </c>
      <c r="R2" s="2" t="inlineStr">
        <is>
          <t>+47 40 00 18 50</t>
        </is>
      </c>
      <c r="S2" s="2" t="inlineStr">
        <is>
          <t>Tollbugata 115, 3041 Drammen</t>
        </is>
      </c>
      <c r="T2" s="5" t="inlineStr">
        <is>
          <t>https://abacus-it.no/avdeling-drammen/</t>
        </is>
      </c>
      <c r="U2" s="4" t="inlineStr">
        <is>
          <t>Buzón de soporte: pedir que lo reenvíen</t>
        </is>
      </c>
      <c r="V2" s="6" t="inlineStr">
        <is>
          <t>Pendiente</t>
        </is>
      </c>
      <c r="W2" s="7" t="n"/>
      <c r="X2" s="8" t="n"/>
      <c r="Y2" s="6" t="n"/>
    </row>
    <row r="3">
      <c r="A3" s="2" t="n">
        <v>2</v>
      </c>
      <c r="B3" s="2" t="inlineStr">
        <is>
          <t>Docente Drammen</t>
        </is>
      </c>
      <c r="C3" s="2" t="inlineStr">
        <is>
          <t>Mar 20 – mié 21 oct</t>
        </is>
      </c>
      <c r="D3" s="2" t="inlineStr">
        <is>
          <t>Sí</t>
        </is>
      </c>
      <c r="E3" s="2" t="inlineStr">
        <is>
          <t>1 · Empresas Drammen</t>
        </is>
      </c>
      <c r="F3" s="2" t="inlineStr">
        <is>
          <t>A</t>
        </is>
      </c>
      <c r="G3" s="2" t="inlineStr">
        <is>
          <t>Empresa</t>
        </is>
      </c>
      <c r="H3" s="2" t="inlineStr">
        <is>
          <t>Drammen</t>
        </is>
      </c>
      <c r="I3" s="3" t="inlineStr">
        <is>
          <t>Cloud Connection AS</t>
        </is>
      </c>
      <c r="J3" s="2" t="inlineStr">
        <is>
          <t>kunde@cloudconnection.no</t>
        </is>
      </c>
      <c r="K3" s="2" t="n"/>
      <c r="L3" s="2" t="inlineStr">
        <is>
          <t>Genérico (clientes)</t>
        </is>
      </c>
      <c r="M3" s="4" t="inlineStr">
        <is>
          <t>see how your team builds and operates cloud and software solutions</t>
        </is>
      </c>
      <c r="N3" s="4" t="inlineStr">
        <is>
          <t>Software y cloud; 112 empleados (Brreg)</t>
        </is>
      </c>
      <c r="O3" s="4" t="inlineStr">
        <is>
          <t>Desarrollo de software, cloud</t>
        </is>
      </c>
      <c r="P3" s="4" t="inlineStr">
        <is>
          <t>No confirmado</t>
        </is>
      </c>
      <c r="Q3" s="5" t="inlineStr">
        <is>
          <t>https://www.cloudconnection.no/</t>
        </is>
      </c>
      <c r="R3" s="2" t="inlineStr">
        <is>
          <t>+47 400 01 900</t>
        </is>
      </c>
      <c r="S3" s="2" t="inlineStr">
        <is>
          <t>Nedre Strandgate 80, 3012 Drammen</t>
        </is>
      </c>
      <c r="T3" s="5" t="inlineStr">
        <is>
          <t>https://www.cloudconnection.no/kontakt</t>
        </is>
      </c>
      <c r="U3" s="4" t="inlineStr">
        <is>
          <t>Buzón de atención a clientes: pedir que lo reenvíen</t>
        </is>
      </c>
      <c r="V3" s="6" t="inlineStr">
        <is>
          <t>Pendiente</t>
        </is>
      </c>
      <c r="W3" s="7" t="n"/>
      <c r="X3" s="8" t="n"/>
      <c r="Y3" s="6" t="n"/>
    </row>
    <row r="4">
      <c r="A4" s="2" t="n">
        <v>3</v>
      </c>
      <c r="B4" s="2" t="inlineStr">
        <is>
          <t>Docente Drammen</t>
        </is>
      </c>
      <c r="C4" s="2" t="inlineStr">
        <is>
          <t>Mar 20 – mié 21 oct</t>
        </is>
      </c>
      <c r="D4" s="2" t="inlineStr">
        <is>
          <t>Sí</t>
        </is>
      </c>
      <c r="E4" s="2" t="inlineStr">
        <is>
          <t>1 · Empresas Drammen</t>
        </is>
      </c>
      <c r="F4" s="2" t="inlineStr">
        <is>
          <t>A</t>
        </is>
      </c>
      <c r="G4" s="2" t="inlineStr">
        <is>
          <t>Empresa</t>
        </is>
      </c>
      <c r="H4" s="2" t="inlineStr">
        <is>
          <t>Drammen</t>
        </is>
      </c>
      <c r="I4" s="3" t="inlineStr">
        <is>
          <t>ECIT Solutions AS</t>
        </is>
      </c>
      <c r="J4" s="2" t="inlineStr">
        <is>
          <t>hei@ecit.no</t>
        </is>
      </c>
      <c r="K4" s="2" t="n"/>
      <c r="L4" s="2" t="inlineStr">
        <is>
          <t>Genérico (grupo)</t>
        </is>
      </c>
      <c r="M4" s="4" t="inlineStr">
        <is>
          <t>learn how your Drammen team develops and runs business software, and how you work with IT apprentices</t>
        </is>
      </c>
      <c r="N4" s="4" t="inlineStr">
        <is>
          <t>Servicios IT, cloud, ERP y nóminas</t>
        </is>
      </c>
      <c r="O4" s="4" t="inlineStr">
        <is>
          <t>Puestos full-stack en Drammen (anuncio en Finn)</t>
        </is>
      </c>
      <c r="P4" s="4" t="inlineStr">
        <is>
          <t>Sí: empresa aprobada para aprendices de IT-utvikler en Drammen (0 activos)</t>
        </is>
      </c>
      <c r="Q4" s="5" t="inlineStr">
        <is>
          <t>https://www.ecit.com/no/</t>
        </is>
      </c>
      <c r="R4" s="2" t="inlineStr">
        <is>
          <t>+47 22 72 14 14</t>
        </is>
      </c>
      <c r="S4" s="2" t="inlineStr">
        <is>
          <t>Bjørnstjerne Bjørnsons gate 110, 3044 Drammen</t>
        </is>
      </c>
      <c r="T4" s="5" t="inlineStr">
        <is>
          <t>https://www.ecit.com/no/</t>
        </is>
      </c>
      <c r="U4" s="4" t="inlineStr">
        <is>
          <t>También info@ecit.com (grupo)</t>
        </is>
      </c>
      <c r="V4" s="6" t="inlineStr">
        <is>
          <t>Pendiente</t>
        </is>
      </c>
      <c r="W4" s="7" t="n"/>
      <c r="X4" s="8" t="n"/>
      <c r="Y4" s="6" t="n"/>
    </row>
    <row r="5">
      <c r="A5" s="2" t="n">
        <v>4</v>
      </c>
      <c r="B5" s="2" t="inlineStr">
        <is>
          <t>Docente Drammen</t>
        </is>
      </c>
      <c r="C5" s="2" t="inlineStr">
        <is>
          <t>Mar 20 – mié 21 oct</t>
        </is>
      </c>
      <c r="D5" s="2" t="inlineStr">
        <is>
          <t>Sí</t>
        </is>
      </c>
      <c r="E5" s="2" t="inlineStr">
        <is>
          <t>1 · Empresas Drammen</t>
        </is>
      </c>
      <c r="F5" s="2" t="inlineStr">
        <is>
          <t>A</t>
        </is>
      </c>
      <c r="G5" s="2" t="inlineStr">
        <is>
          <t>Empresa</t>
        </is>
      </c>
      <c r="H5" s="2" t="inlineStr">
        <is>
          <t>Drammen</t>
        </is>
      </c>
      <c r="I5" s="3" t="inlineStr">
        <is>
          <t>ON Property AS</t>
        </is>
      </c>
      <c r="J5" s="2" t="inlineStr">
        <is>
          <t>post@on.no</t>
        </is>
      </c>
      <c r="K5" s="2" t="n"/>
      <c r="L5" s="2" t="inlineStr">
        <is>
          <t>Genérico</t>
        </is>
      </c>
      <c r="M5" s="4" t="inlineStr">
        <is>
          <t>see how you develop and maintain your own software product</t>
        </is>
      </c>
      <c r="N5" s="4" t="inlineStr">
        <is>
          <t>Software propio de gestión inmobiliaria y económica</t>
        </is>
      </c>
      <c r="O5" s="4" t="inlineStr">
        <is>
          <t>Producto software propio</t>
        </is>
      </c>
      <c r="P5" s="4" t="inlineStr">
        <is>
          <t>No confirmado</t>
        </is>
      </c>
      <c r="Q5" s="5" t="inlineStr">
        <is>
          <t>http://www.on.no/</t>
        </is>
      </c>
      <c r="R5" s="2" t="inlineStr">
        <is>
          <t>+47 401 68 619</t>
        </is>
      </c>
      <c r="S5" s="2" t="inlineStr">
        <is>
          <t>Nedre Storgate 15, 3015 Drammen</t>
        </is>
      </c>
      <c r="T5" s="5" t="inlineStr">
        <is>
          <t>http://www.on.no/</t>
        </is>
      </c>
      <c r="U5" s="4" t="inlineStr">
        <is>
          <t>Tamaño no confirmado</t>
        </is>
      </c>
      <c r="V5" s="6" t="inlineStr">
        <is>
          <t>Pendiente</t>
        </is>
      </c>
      <c r="W5" s="7" t="n"/>
      <c r="X5" s="8" t="n"/>
      <c r="Y5" s="6" t="n"/>
    </row>
    <row r="6">
      <c r="A6" s="2" t="n">
        <v>5</v>
      </c>
      <c r="B6" s="2" t="inlineStr">
        <is>
          <t>Docente Drammen</t>
        </is>
      </c>
      <c r="C6" s="2" t="inlineStr">
        <is>
          <t>Mar 20 – mié 21 oct</t>
        </is>
      </c>
      <c r="D6" s="2" t="inlineStr">
        <is>
          <t>Sí</t>
        </is>
      </c>
      <c r="E6" s="2" t="inlineStr">
        <is>
          <t>1 · Empresas Drammen</t>
        </is>
      </c>
      <c r="F6" s="2" t="inlineStr">
        <is>
          <t>A</t>
        </is>
      </c>
      <c r="G6" s="2" t="inlineStr">
        <is>
          <t>Empresa</t>
        </is>
      </c>
      <c r="H6" s="2" t="inlineStr">
        <is>
          <t>Kongsberg</t>
        </is>
      </c>
      <c r="I6" s="3" t="inlineStr">
        <is>
          <t>Vokser / Itumx AS</t>
        </is>
      </c>
      <c r="J6" s="2" t="inlineStr">
        <is>
          <t>support@itumx.no</t>
        </is>
      </c>
      <c r="K6" s="2" t="n"/>
      <c r="L6" s="2" t="inlineStr">
        <is>
          <t>Genérico (soporte)</t>
        </is>
      </c>
      <c r="M6" s="4" t="inlineStr">
        <is>
          <t>learn how you design and build digital experiences in the Kongsberg technology cluster</t>
        </is>
      </c>
      <c r="N6" s="4" t="inlineStr">
        <is>
          <t>Diseño y desarrollo de experiencias digitales; servicios TI (~33 empl.)</t>
        </is>
      </c>
      <c r="O6" s="4" t="inlineStr">
        <is>
          <t>Desarrollo frontend y web</t>
        </is>
      </c>
      <c r="P6" s="4" t="inlineStr">
        <is>
          <t>No confirmado</t>
        </is>
      </c>
      <c r="Q6" s="5" t="inlineStr">
        <is>
          <t>https://vokser.no/</t>
        </is>
      </c>
      <c r="R6" s="2" t="inlineStr">
        <is>
          <t>+47 90 52 30 00</t>
        </is>
      </c>
      <c r="S6" s="2" t="inlineStr">
        <is>
          <t>Kirkegårdsveien 45, bygg 125, Kongsberg Teknologipark</t>
        </is>
      </c>
      <c r="T6" s="5" t="inlineStr">
        <is>
          <t>https://www.1881.no/data-programvare-og-utvikling/data-programvare-og-utvikling-buskerud/data-programvare-og-utvikling-kongsberg/itumx-as_106150255S1/</t>
        </is>
      </c>
      <c r="U6" s="4" t="inlineStr">
        <is>
          <t>Correo de directorio (1881), no de la web; Kongsberg está a ~40 min de Drammen</t>
        </is>
      </c>
      <c r="V6" s="6" t="inlineStr">
        <is>
          <t>Pendiente</t>
        </is>
      </c>
      <c r="W6" s="7" t="n"/>
      <c r="X6" s="8" t="n"/>
      <c r="Y6" s="6" t="n"/>
    </row>
    <row r="7">
      <c r="A7" s="2" t="n">
        <v>6</v>
      </c>
      <c r="B7" s="2" t="inlineStr">
        <is>
          <t>Docente Drammen</t>
        </is>
      </c>
      <c r="C7" s="2" t="inlineStr">
        <is>
          <t>Mar 20 – mié 21 oct</t>
        </is>
      </c>
      <c r="D7" s="2" t="inlineStr">
        <is>
          <t>Sí</t>
        </is>
      </c>
      <c r="E7" s="2" t="inlineStr">
        <is>
          <t>1 · Empresas Drammen</t>
        </is>
      </c>
      <c r="F7" s="2" t="inlineStr">
        <is>
          <t>B</t>
        </is>
      </c>
      <c r="G7" s="2" t="inlineStr">
        <is>
          <t>Empresa</t>
        </is>
      </c>
      <c r="H7" s="2" t="inlineStr">
        <is>
          <t>Drammen</t>
        </is>
      </c>
      <c r="I7" s="3" t="inlineStr">
        <is>
          <t>Addovation AS</t>
        </is>
      </c>
      <c r="J7" s="2" t="inlineStr">
        <is>
          <t>sales@addovation.com</t>
        </is>
      </c>
      <c r="K7" s="2" t="n"/>
      <c r="L7" s="2" t="inlineStr">
        <is>
          <t>Función (ventas)</t>
        </is>
      </c>
      <c r="M7" s="4" t="inlineStr">
        <is>
          <t>learn how you build integrations and business applications on Microsoft and ERP platforms</t>
        </is>
      </c>
      <c r="N7" s="4" t="inlineStr">
        <is>
          <t>Consultoría Microsoft/ERP en cloud e integración</t>
        </is>
      </c>
      <c r="O7" s="4" t="inlineStr">
        <is>
          <t>Integraciones y apps de negocio</t>
        </is>
      </c>
      <c r="P7" s="4" t="inlineStr">
        <is>
          <t>No confirmado</t>
        </is>
      </c>
      <c r="Q7" s="5" t="inlineStr">
        <is>
          <t>https://www.addovation.com/</t>
        </is>
      </c>
      <c r="R7" s="2" t="inlineStr">
        <is>
          <t>+47 32 22 38 88</t>
        </is>
      </c>
      <c r="S7" s="2" t="inlineStr">
        <is>
          <t>Engene 22, 3015 Drammen</t>
        </is>
      </c>
      <c r="T7" s="5" t="inlineStr">
        <is>
          <t>https://www.addovation.com/contact-us/</t>
        </is>
      </c>
      <c r="U7" s="4" t="inlineStr">
        <is>
          <t>Activa en Brreg</t>
        </is>
      </c>
      <c r="V7" s="6" t="inlineStr">
        <is>
          <t>Pendiente</t>
        </is>
      </c>
      <c r="W7" s="7" t="n"/>
      <c r="X7" s="8" t="n"/>
      <c r="Y7" s="6" t="n"/>
    </row>
    <row r="8">
      <c r="A8" s="2" t="n">
        <v>7</v>
      </c>
      <c r="B8" s="2" t="inlineStr">
        <is>
          <t>Docente Drammen</t>
        </is>
      </c>
      <c r="C8" s="2" t="inlineStr">
        <is>
          <t>Mar 20 – mié 21 oct</t>
        </is>
      </c>
      <c r="D8" s="2" t="inlineStr">
        <is>
          <t>Sí</t>
        </is>
      </c>
      <c r="E8" s="2" t="inlineStr">
        <is>
          <t>1 · Empresas Drammen</t>
        </is>
      </c>
      <c r="F8" s="2" t="inlineStr">
        <is>
          <t>B</t>
        </is>
      </c>
      <c r="G8" s="2" t="inlineStr">
        <is>
          <t>Empresa</t>
        </is>
      </c>
      <c r="H8" s="2" t="inlineStr">
        <is>
          <t>Drammen</t>
        </is>
      </c>
      <c r="I8" s="3" t="inlineStr">
        <is>
          <t>Gapit Nordics AS</t>
        </is>
      </c>
      <c r="J8" s="2" t="inlineStr">
        <is>
          <t>sales@gapit.io</t>
        </is>
      </c>
      <c r="K8" s="2" t="n"/>
      <c r="L8" s="2" t="inlineStr">
        <is>
          <t>Función (ventas)</t>
        </is>
      </c>
      <c r="M8" s="4" t="inlineStr">
        <is>
          <t>see how you build real-time dashboards and monitoring software</t>
        </is>
      </c>
      <c r="N8" s="4" t="inlineStr">
        <is>
          <t>Dashboards y monitorización en tiempo real, ESG</t>
        </is>
      </c>
      <c r="O8" s="4" t="inlineStr">
        <is>
          <t>Desarrollo web de software</t>
        </is>
      </c>
      <c r="P8" s="4" t="inlineStr">
        <is>
          <t>Solo aprobada para aprendices de automatización</t>
        </is>
      </c>
      <c r="Q8" s="5" t="inlineStr">
        <is>
          <t>https://gapit.io/</t>
        </is>
      </c>
      <c r="R8" s="2" t="inlineStr">
        <is>
          <t>40 00 07 04</t>
        </is>
      </c>
      <c r="S8" s="2" t="inlineStr">
        <is>
          <t>Ingeniør Rybergs gate 99, 3027 Drammen</t>
        </is>
      </c>
      <c r="T8" s="5" t="inlineStr">
        <is>
          <t>https://gapit.io/contact</t>
        </is>
      </c>
      <c r="U8" s="4" t="inlineStr">
        <is>
          <t>hello@gapit.io (que figuraba en el proyecto) no aparece en la web oficial</t>
        </is>
      </c>
      <c r="V8" s="6" t="inlineStr">
        <is>
          <t>Pendiente</t>
        </is>
      </c>
      <c r="W8" s="7" t="n"/>
      <c r="X8" s="8" t="n"/>
      <c r="Y8" s="6" t="n"/>
    </row>
    <row r="9">
      <c r="A9" s="2" t="n">
        <v>8</v>
      </c>
      <c r="B9" s="2" t="inlineStr">
        <is>
          <t>Docente Drammen</t>
        </is>
      </c>
      <c r="C9" s="2" t="inlineStr">
        <is>
          <t>Mar 20 – mié 21 oct</t>
        </is>
      </c>
      <c r="D9" s="2" t="inlineStr">
        <is>
          <t>Sí</t>
        </is>
      </c>
      <c r="E9" s="2" t="inlineStr">
        <is>
          <t>1 · Empresas Drammen</t>
        </is>
      </c>
      <c r="F9" s="2" t="inlineStr">
        <is>
          <t>B</t>
        </is>
      </c>
      <c r="G9" s="2" t="inlineStr">
        <is>
          <t>Empresa</t>
        </is>
      </c>
      <c r="H9" s="2" t="inlineStr">
        <is>
          <t>Drammen</t>
        </is>
      </c>
      <c r="I9" s="3" t="inlineStr">
        <is>
          <t>Peritus AS (ECIT Peritus)</t>
        </is>
      </c>
      <c r="J9" s="2" t="inlineStr">
        <is>
          <t>salg@peritus.no</t>
        </is>
      </c>
      <c r="K9" s="2" t="n"/>
      <c r="L9" s="2" t="inlineStr">
        <is>
          <t>Función (ventas)</t>
        </is>
      </c>
      <c r="M9" s="4" t="inlineStr">
        <is>
          <t>learn how you work with Microsoft Dynamics and ERP integrations</t>
        </is>
      </c>
      <c r="N9" s="4" t="inlineStr">
        <is>
          <t>Consultora Microsoft (Dynamics/ERP)</t>
        </is>
      </c>
      <c r="O9" s="4" t="inlineStr">
        <is>
          <t>Integraciones ERP</t>
        </is>
      </c>
      <c r="P9" s="4" t="inlineStr">
        <is>
          <t>No confirmado</t>
        </is>
      </c>
      <c r="Q9" s="5" t="inlineStr">
        <is>
          <t>https://peritus.no/</t>
        </is>
      </c>
      <c r="R9" s="2" t="inlineStr">
        <is>
          <t>93 26 43 10</t>
        </is>
      </c>
      <c r="S9" s="2" t="inlineStr">
        <is>
          <t>Bjørnstjerne Bjørnsons gate 110, 3044 Drammen</t>
        </is>
      </c>
      <c r="T9" s="5" t="inlineStr">
        <is>
          <t>https://www.1881.no/konsulenter-dataprogramvare-og-utvikling/konsulenter-dataprogramvare-og-utvikling-buskerud/konsulenter-dataprogramvare-og-utvikling-drammen/peritus-as_100558922S3/</t>
        </is>
      </c>
      <c r="U9" s="4" t="inlineStr">
        <is>
          <t>Correo de directorio (1881); mismo edificio que ECIT</t>
        </is>
      </c>
      <c r="V9" s="6" t="inlineStr">
        <is>
          <t>Pendiente</t>
        </is>
      </c>
      <c r="W9" s="7" t="n"/>
      <c r="X9" s="8" t="n"/>
      <c r="Y9" s="6" t="n"/>
    </row>
    <row r="10">
      <c r="A10" s="2" t="n">
        <v>9</v>
      </c>
      <c r="B10" s="2" t="inlineStr">
        <is>
          <t>Docente Drammen</t>
        </is>
      </c>
      <c r="C10" s="2" t="inlineStr">
        <is>
          <t>Mar 20 – mié 21 oct</t>
        </is>
      </c>
      <c r="D10" s="2" t="inlineStr">
        <is>
          <t>Sí</t>
        </is>
      </c>
      <c r="E10" s="2" t="inlineStr">
        <is>
          <t>1 · Empresas Drammen</t>
        </is>
      </c>
      <c r="F10" s="2" t="inlineStr">
        <is>
          <t>B</t>
        </is>
      </c>
      <c r="G10" s="2" t="inlineStr">
        <is>
          <t>Empresa</t>
        </is>
      </c>
      <c r="H10" s="2" t="inlineStr">
        <is>
          <t>Drammen</t>
        </is>
      </c>
      <c r="I10" s="3" t="inlineStr">
        <is>
          <t>Wingmen (Friday Networks Drammen AS)</t>
        </is>
      </c>
      <c r="J10" s="2" t="inlineStr">
        <is>
          <t>info@wingmen.no</t>
        </is>
      </c>
      <c r="K10" s="2" t="n"/>
      <c r="L10" s="2" t="inlineStr">
        <is>
          <t>Genérico</t>
        </is>
      </c>
      <c r="M10" s="4" t="inlineStr">
        <is>
          <t>see how you run networks, security and cloud services for your clients</t>
        </is>
      </c>
      <c r="N10" s="4" t="inlineStr">
        <is>
          <t>Redes, ciberseguridad, cloud/IA, servicios gestionados</t>
        </is>
      </c>
      <c r="O10" s="4" t="inlineStr">
        <is>
          <t>Infraestructura, Linux, cloud</t>
        </is>
      </c>
      <c r="P10" s="4" t="inlineStr">
        <is>
          <t>No confirmado</t>
        </is>
      </c>
      <c r="Q10" s="5" t="inlineStr">
        <is>
          <t>https://wingmen.no/</t>
        </is>
      </c>
      <c r="R10" s="2" t="inlineStr">
        <is>
          <t>+47 32 24 54 00</t>
        </is>
      </c>
      <c r="S10" s="2" t="inlineStr">
        <is>
          <t>Engene 116, 3012 Drammen</t>
        </is>
      </c>
      <c r="T10" s="5" t="inlineStr">
        <is>
          <t>https://wingmen.no/kontakt/</t>
        </is>
      </c>
      <c r="U10" s="4" t="inlineStr">
        <is>
          <t>La dirección registrada es otra (Ingeniør Rybergs gate 99)</t>
        </is>
      </c>
      <c r="V10" s="6" t="inlineStr">
        <is>
          <t>Pendiente</t>
        </is>
      </c>
      <c r="W10" s="7" t="n"/>
      <c r="X10" s="8" t="n"/>
      <c r="Y10" s="6" t="n"/>
    </row>
    <row r="11">
      <c r="A11" s="2" t="n">
        <v>10</v>
      </c>
      <c r="B11" s="2" t="inlineStr">
        <is>
          <t>Docente Drammen</t>
        </is>
      </c>
      <c r="C11" s="2" t="inlineStr">
        <is>
          <t>Mar 20 – mié 21 oct</t>
        </is>
      </c>
      <c r="D11" s="2" t="inlineStr">
        <is>
          <t>Sí</t>
        </is>
      </c>
      <c r="E11" s="2" t="inlineStr">
        <is>
          <t>1 · Empresas Drammen</t>
        </is>
      </c>
      <c r="F11" s="2" t="inlineStr">
        <is>
          <t>C</t>
        </is>
      </c>
      <c r="G11" s="2" t="inlineStr">
        <is>
          <t>Empresa</t>
        </is>
      </c>
      <c r="H11" s="2" t="inlineStr">
        <is>
          <t>Drammen</t>
        </is>
      </c>
      <c r="I11" s="3" t="inlineStr">
        <is>
          <t>Luminus AS</t>
        </is>
      </c>
      <c r="J11" s="2" t="inlineStr">
        <is>
          <t>post@luminus.no</t>
        </is>
      </c>
      <c r="K11" s="2" t="n"/>
      <c r="L11" s="2" t="inlineStr">
        <is>
          <t>Genérico</t>
        </is>
      </c>
      <c r="M11" s="4" t="inlineStr">
        <is>
          <t>learn how a web agency works day to day</t>
        </is>
      </c>
      <c r="N11" s="4" t="inlineStr">
        <is>
          <t>Agencia web</t>
        </is>
      </c>
      <c r="O11" s="4" t="inlineStr">
        <is>
          <t>Web frontend/CMS</t>
        </is>
      </c>
      <c r="P11" s="4" t="inlineStr">
        <is>
          <t>No</t>
        </is>
      </c>
      <c r="Q11" s="5" t="inlineStr">
        <is>
          <t>https://luminus.no/</t>
        </is>
      </c>
      <c r="R11" s="2" t="inlineStr">
        <is>
          <t>40 00 65 94</t>
        </is>
      </c>
      <c r="S11" s="2" t="inlineStr">
        <is>
          <t>Nedre Storgate 51, 3015 Drammen</t>
        </is>
      </c>
      <c r="T11" s="5" t="inlineStr">
        <is>
          <t>https://www.1881.no/webdesign/webdesign-buskerud/webdesign-drammen/luminus-webkommunikasjon_101437661S1/</t>
        </is>
      </c>
      <c r="U11" s="4" t="inlineStr">
        <is>
          <t>Sin empleados registrados y pérdidas en 2024: poca probabilidad</t>
        </is>
      </c>
      <c r="V11" s="6" t="inlineStr">
        <is>
          <t>Pendiente</t>
        </is>
      </c>
      <c r="W11" s="7" t="n"/>
      <c r="X11" s="8" t="n"/>
      <c r="Y11" s="6" t="n"/>
    </row>
    <row r="12">
      <c r="A12" s="2" t="n">
        <v>11</v>
      </c>
      <c r="B12" s="2" t="inlineStr">
        <is>
          <t>Docente Drammen</t>
        </is>
      </c>
      <c r="C12" s="2" t="inlineStr">
        <is>
          <t>Mar 20 – mié 21 oct</t>
        </is>
      </c>
      <c r="D12" s="2" t="inlineStr">
        <is>
          <t>Sí</t>
        </is>
      </c>
      <c r="E12" s="2" t="inlineStr">
        <is>
          <t>1 · Empresas Drammen</t>
        </is>
      </c>
      <c r="F12" s="2" t="inlineStr">
        <is>
          <t>C</t>
        </is>
      </c>
      <c r="G12" s="2" t="inlineStr">
        <is>
          <t>Empresa</t>
        </is>
      </c>
      <c r="H12" s="2" t="inlineStr">
        <is>
          <t>Drammen</t>
        </is>
      </c>
      <c r="I12" s="3" t="inlineStr">
        <is>
          <t>NetSolution Buskerud/Viken AS</t>
        </is>
      </c>
      <c r="J12" s="2" t="inlineStr">
        <is>
          <t>post@netsolution.no</t>
        </is>
      </c>
      <c r="K12" s="2" t="n"/>
      <c r="L12" s="2" t="inlineStr">
        <is>
          <t>Genérico</t>
        </is>
      </c>
      <c r="M12" s="4" t="inlineStr">
        <is>
          <t>learn how you support the IT of small and medium businesses in the region</t>
        </is>
      </c>
      <c r="N12" s="4" t="inlineStr">
        <is>
          <t>Reseller y soporte TI para pymes</t>
        </is>
      </c>
      <c r="O12" s="4" t="inlineStr">
        <is>
          <t>Baja</t>
        </is>
      </c>
      <c r="P12" s="4" t="inlineStr">
        <is>
          <t>No confirmado</t>
        </is>
      </c>
      <c r="Q12" s="5" t="inlineStr">
        <is>
          <t>https://www.netsolution.no/</t>
        </is>
      </c>
      <c r="R12" s="2" t="inlineStr">
        <is>
          <t>+47 919 11 000</t>
        </is>
      </c>
      <c r="S12" s="2" t="inlineStr">
        <is>
          <t>Kobbervikdalen 75 A, 3036 Drammen</t>
        </is>
      </c>
      <c r="T12" s="5" t="inlineStr">
        <is>
          <t>https://www.netsolution.no/kontakt</t>
        </is>
      </c>
      <c r="U12" s="4" t="n"/>
      <c r="V12" s="6" t="inlineStr">
        <is>
          <t>Pendiente</t>
        </is>
      </c>
      <c r="W12" s="7" t="n"/>
      <c r="X12" s="8" t="n"/>
      <c r="Y12" s="6" t="n"/>
    </row>
    <row r="13">
      <c r="A13" s="2" t="n">
        <v>12</v>
      </c>
      <c r="B13" s="2" t="inlineStr">
        <is>
          <t>Docente Drammen</t>
        </is>
      </c>
      <c r="C13" s="2" t="inlineStr">
        <is>
          <t>Mar 20 – mié 21 oct</t>
        </is>
      </c>
      <c r="D13" s="2" t="inlineStr">
        <is>
          <t>Sí</t>
        </is>
      </c>
      <c r="E13" s="2" t="inlineStr">
        <is>
          <t>B · Organismos Drammen</t>
        </is>
      </c>
      <c r="F13" s="2" t="inlineStr">
        <is>
          <t>A</t>
        </is>
      </c>
      <c r="G13" s="2" t="inlineStr">
        <is>
          <t>Organismo</t>
        </is>
      </c>
      <c r="H13" s="2" t="inlineStr">
        <is>
          <t>Kongsberg</t>
        </is>
      </c>
      <c r="I13" s="3" t="inlineStr">
        <is>
          <t>Kongsberg Næringsforum</t>
        </is>
      </c>
      <c r="J13" s="2" t="inlineStr">
        <is>
          <t>post@knf.kongsberg.no</t>
        </is>
      </c>
      <c r="K13" s="2" t="n"/>
      <c r="L13" s="2" t="inlineStr">
        <is>
          <t>Genérico</t>
        </is>
      </c>
      <c r="M13" s="4" t="inlineStr">
        <is>
          <t>share our request with technology companies in Kongsberg</t>
        </is>
      </c>
      <c r="N13" s="4" t="inlineStr">
        <is>
          <t>Foro empresarial de Kongsberg</t>
        </is>
      </c>
      <c r="O13" s="4" t="inlineStr">
        <is>
          <t>Clúster tecnológico</t>
        </is>
      </c>
      <c r="P13" s="4" t="inlineStr">
        <is>
          <t>—</t>
        </is>
      </c>
      <c r="Q13" s="5" t="inlineStr">
        <is>
          <t>https://knf.kongsberg.no/</t>
        </is>
      </c>
      <c r="R13" s="2" t="inlineStr">
        <is>
          <t>32 29 90 50</t>
        </is>
      </c>
      <c r="S13" s="2" t="inlineStr">
        <is>
          <t>Kirketorget 4, 3616 Kongsberg</t>
        </is>
      </c>
      <c r="T13" s="5" t="inlineStr">
        <is>
          <t>https://knf.kongsberg.no/</t>
        </is>
      </c>
      <c r="U13" s="4" t="n"/>
      <c r="V13" s="6" t="inlineStr">
        <is>
          <t>Pendiente</t>
        </is>
      </c>
      <c r="W13" s="7" t="n"/>
      <c r="X13" s="8" t="n"/>
      <c r="Y13" s="6" t="n"/>
    </row>
    <row r="14">
      <c r="A14" s="2" t="n">
        <v>13</v>
      </c>
      <c r="B14" s="2" t="inlineStr">
        <is>
          <t>Docente Drammen</t>
        </is>
      </c>
      <c r="C14" s="2" t="inlineStr">
        <is>
          <t>Mar 20 – mié 21 oct</t>
        </is>
      </c>
      <c r="D14" s="2" t="inlineStr">
        <is>
          <t>Sí</t>
        </is>
      </c>
      <c r="E14" s="2" t="inlineStr">
        <is>
          <t>B · Organismos Drammen</t>
        </is>
      </c>
      <c r="F14" s="2" t="inlineStr">
        <is>
          <t>A</t>
        </is>
      </c>
      <c r="G14" s="2" t="inlineStr">
        <is>
          <t>Organismo</t>
        </is>
      </c>
      <c r="H14" s="2" t="inlineStr">
        <is>
          <t>Drammen</t>
        </is>
      </c>
      <c r="I14" s="3" t="inlineStr">
        <is>
          <t>Næringsforeningen i Drammensregionen (NFDR)</t>
        </is>
      </c>
      <c r="J14" s="2" t="inlineStr">
        <is>
          <t>post@nfdr.no</t>
        </is>
      </c>
      <c r="K14" s="2" t="n"/>
      <c r="L14" s="2" t="inlineStr">
        <is>
          <t>Genérico</t>
        </is>
      </c>
      <c r="M14" s="4" t="inlineStr">
        <is>
          <t>share our request with member IT companies in the Drammen region</t>
        </is>
      </c>
      <c r="N14" s="4" t="inlineStr">
        <is>
          <t>Asociación empresarial (~950 socios)</t>
        </is>
      </c>
      <c r="O14" s="4" t="inlineStr">
        <is>
          <t>Puede difundir entre socios TIC</t>
        </is>
      </c>
      <c r="P14" s="4" t="inlineStr">
        <is>
          <t>—</t>
        </is>
      </c>
      <c r="Q14" s="5" t="inlineStr">
        <is>
          <t>https://nfdr.no/</t>
        </is>
      </c>
      <c r="R14" s="2" t="inlineStr">
        <is>
          <t>32 26 42 10</t>
        </is>
      </c>
      <c r="S14" s="2" t="inlineStr">
        <is>
          <t>Bragernes Torg 13, 3017 Drammen</t>
        </is>
      </c>
      <c r="T14" s="5" t="inlineStr">
        <is>
          <t>https://nfdr.no/kontakt</t>
        </is>
      </c>
      <c r="U14" s="4" t="n"/>
      <c r="V14" s="6" t="inlineStr">
        <is>
          <t>Pendiente</t>
        </is>
      </c>
      <c r="W14" s="7" t="n"/>
      <c r="X14" s="8" t="n"/>
      <c r="Y14" s="6" t="n"/>
    </row>
    <row r="15">
      <c r="A15" s="2" t="n">
        <v>14</v>
      </c>
      <c r="B15" s="2" t="inlineStr">
        <is>
          <t>Docente Drammen</t>
        </is>
      </c>
      <c r="C15" s="2" t="inlineStr">
        <is>
          <t>Mar 20 – mié 21 oct</t>
        </is>
      </c>
      <c r="D15" s="2" t="inlineStr">
        <is>
          <t>Sí</t>
        </is>
      </c>
      <c r="E15" s="2" t="inlineStr">
        <is>
          <t>B · Organismos Drammen</t>
        </is>
      </c>
      <c r="F15" s="2" t="inlineStr">
        <is>
          <t>B</t>
        </is>
      </c>
      <c r="G15" s="2" t="inlineStr">
        <is>
          <t>Organismo</t>
        </is>
      </c>
      <c r="H15" s="2" t="inlineStr">
        <is>
          <t>Drammen</t>
        </is>
      </c>
      <c r="I15" s="3" t="inlineStr">
        <is>
          <t>Buskerud fylkeskommune</t>
        </is>
      </c>
      <c r="J15" s="2" t="inlineStr">
        <is>
          <t>post@bfk.no</t>
        </is>
      </c>
      <c r="K15" s="2" t="n"/>
      <c r="L15" s="2" t="inlineStr">
        <is>
          <t>Genérico</t>
        </is>
      </c>
      <c r="M15" s="4" t="inlineStr">
        <is>
          <t>put us in touch with the person in charge of IT apprenticeships in Buskerud</t>
        </is>
      </c>
      <c r="N15" s="4" t="inlineStr">
        <is>
          <t>Administración educativa del condado</t>
        </is>
      </c>
      <c r="O15" s="4" t="inlineStr">
        <is>
          <t>Formación profesional y aprendices</t>
        </is>
      </c>
      <c r="P15" s="4" t="inlineStr">
        <is>
          <t>—</t>
        </is>
      </c>
      <c r="Q15" s="5" t="inlineStr">
        <is>
          <t>https://bfk.no/</t>
        </is>
      </c>
      <c r="R15" s="2" t="inlineStr">
        <is>
          <t>32 80 85 00</t>
        </is>
      </c>
      <c r="S15" s="2" t="inlineStr">
        <is>
          <t>Drammen</t>
        </is>
      </c>
      <c r="T15" s="5" t="inlineStr">
        <is>
          <t>https://bfk.no/om-fylkeskommunen/kontaktinformasjon/</t>
        </is>
      </c>
      <c r="U15" s="4" t="n"/>
      <c r="V15" s="6" t="inlineStr">
        <is>
          <t>Pendiente</t>
        </is>
      </c>
      <c r="W15" s="7" t="n"/>
      <c r="X15" s="8" t="n"/>
      <c r="Y15" s="6" t="n"/>
    </row>
    <row r="16">
      <c r="A16" s="2" t="n">
        <v>15</v>
      </c>
      <c r="B16" s="2" t="inlineStr">
        <is>
          <t>Docente Drammen</t>
        </is>
      </c>
      <c r="C16" s="2" t="inlineStr">
        <is>
          <t>Mar 20 – mié 21 oct</t>
        </is>
      </c>
      <c r="D16" s="2" t="inlineStr">
        <is>
          <t>Sí</t>
        </is>
      </c>
      <c r="E16" s="2" t="inlineStr">
        <is>
          <t>B · Organismos Drammen</t>
        </is>
      </c>
      <c r="F16" s="2" t="inlineStr">
        <is>
          <t>B</t>
        </is>
      </c>
      <c r="G16" s="2" t="inlineStr">
        <is>
          <t>Organismo</t>
        </is>
      </c>
      <c r="H16" s="2" t="inlineStr">
        <is>
          <t>Drammen</t>
        </is>
      </c>
      <c r="I16" s="3" t="inlineStr">
        <is>
          <t>Drammen kommune</t>
        </is>
      </c>
      <c r="J16" s="2" t="inlineStr">
        <is>
          <t>kommunepost@drammen.kommune.no</t>
        </is>
      </c>
      <c r="K16" s="2" t="n"/>
      <c r="L16" s="2" t="inlineStr">
        <is>
          <t>Genérico</t>
        </is>
      </c>
      <c r="M16" s="4" t="inlineStr">
        <is>
          <t>learn how the municipality, as an approved training company, hosts IT apprentices</t>
        </is>
      </c>
      <c r="N16" s="4" t="inlineStr">
        <is>
          <t>Ayuntamiento</t>
        </is>
      </c>
      <c r="O16" s="4" t="inlineStr">
        <is>
          <t>Empresa aprobada para aprendices de IT-utvikler (182 aprendices en total)</t>
        </is>
      </c>
      <c r="P16" s="4" t="inlineStr">
        <is>
          <t>Sí</t>
        </is>
      </c>
      <c r="Q16" s="5" t="inlineStr">
        <is>
          <t>https://www.drammen.kommune.no/</t>
        </is>
      </c>
      <c r="R16" s="2" t="inlineStr">
        <is>
          <t>32 04 00 00</t>
        </is>
      </c>
      <c r="S16" s="2" t="inlineStr">
        <is>
          <t>Drammen</t>
        </is>
      </c>
      <c r="T16" s="5" t="inlineStr">
        <is>
          <t>https://www.drammen.kommune.no/</t>
        </is>
      </c>
      <c r="U16" s="4" t="inlineStr">
        <is>
          <t>Buzón general: pedir que lo reenvíen a la unidad de IT o de aprendices</t>
        </is>
      </c>
      <c r="V16" s="6" t="inlineStr">
        <is>
          <t>Pendiente</t>
        </is>
      </c>
      <c r="W16" s="7" t="n"/>
      <c r="X16" s="8" t="n"/>
      <c r="Y16" s="6" t="n"/>
    </row>
    <row r="17">
      <c r="A17" s="2" t="n">
        <v>16</v>
      </c>
      <c r="B17" s="2" t="inlineStr">
        <is>
          <t>Docente Drammen</t>
        </is>
      </c>
      <c r="C17" s="2" t="inlineStr">
        <is>
          <t>Mar 20 – mié 21 oct</t>
        </is>
      </c>
      <c r="D17" s="2" t="inlineStr">
        <is>
          <t>Sí</t>
        </is>
      </c>
      <c r="E17" s="2" t="inlineStr">
        <is>
          <t>3 · Universidad</t>
        </is>
      </c>
      <c r="F17" s="2" t="inlineStr">
        <is>
          <t>A</t>
        </is>
      </c>
      <c r="G17" s="2" t="inlineStr">
        <is>
          <t>Universidad</t>
        </is>
      </c>
      <c r="H17" s="2" t="inlineStr">
        <is>
          <t>Drammen</t>
        </is>
      </c>
      <c r="I17" s="3" t="inlineStr">
        <is>
          <t>USN — Relaciones Internacionales</t>
        </is>
      </c>
      <c r="J17" s="2" t="inlineStr">
        <is>
          <t>international@usn.no</t>
        </is>
      </c>
      <c r="K17" s="2" t="inlineStr">
        <is>
          <t>educ@usn.no</t>
        </is>
      </c>
      <c r="L17" s="2" t="inlineStr">
        <is>
          <t>Genérico</t>
        </is>
      </c>
      <c r="M17" s="4" t="inlineStr">
        <is>
          <t>teacher education and digital competence</t>
        </is>
      </c>
      <c r="N17" s="4" t="inlineStr">
        <is>
          <t>Universidad del Sudeste de Noruega, con campus en Drammen</t>
        </is>
      </c>
      <c r="O17" s="4" t="inlineStr">
        <is>
          <t>Formación del profesorado, informática</t>
        </is>
      </c>
      <c r="P17" s="4" t="inlineStr">
        <is>
          <t>—</t>
        </is>
      </c>
      <c r="Q17" s="5" t="inlineStr">
        <is>
          <t>https://www.usn.no/</t>
        </is>
      </c>
      <c r="R17" s="2" t="inlineStr">
        <is>
          <t>+47 31 00 80 00</t>
        </is>
      </c>
      <c r="S17" s="2" t="inlineStr">
        <is>
          <t>Campus Drammen</t>
        </is>
      </c>
      <c r="T17" s="5" t="inlineStr">
        <is>
          <t>https://www.usn.no/english/about/contact-us</t>
        </is>
      </c>
      <c r="U17" s="4" t="inlineStr">
        <is>
          <t>La opción más práctica para reunirse esa semana: está en Drammen</t>
        </is>
      </c>
      <c r="V17" s="6" t="inlineStr">
        <is>
          <t>Pendiente</t>
        </is>
      </c>
      <c r="W17" s="7" t="n"/>
      <c r="X17" s="8" t="n"/>
      <c r="Y17" s="6" t="n"/>
    </row>
    <row r="18">
      <c r="A18" s="9" t="n">
        <v>17</v>
      </c>
      <c r="B18" s="9" t="inlineStr">
        <is>
          <t>Docente Oslo</t>
        </is>
      </c>
      <c r="C18" s="9" t="inlineStr">
        <is>
          <t>Jue 22 – vie 23 oct</t>
        </is>
      </c>
      <c r="D18" s="9" t="inlineStr">
        <is>
          <t>Sí</t>
        </is>
      </c>
      <c r="E18" s="9" t="inlineStr">
        <is>
          <t>2 · Empresas Oslo</t>
        </is>
      </c>
      <c r="F18" s="9" t="inlineStr">
        <is>
          <t>A</t>
        </is>
      </c>
      <c r="G18" s="9" t="inlineStr">
        <is>
          <t>Empresa</t>
        </is>
      </c>
      <c r="H18" s="9" t="inlineStr">
        <is>
          <t>Oslo</t>
        </is>
      </c>
      <c r="I18" s="10" t="inlineStr">
        <is>
          <t>Maksimer</t>
        </is>
      </c>
      <c r="J18" s="9" t="inlineStr">
        <is>
          <t>post@maksimer.no</t>
        </is>
      </c>
      <c r="K18" s="9" t="n"/>
      <c r="L18" s="9" t="inlineStr">
        <is>
          <t>Genérico</t>
        </is>
      </c>
      <c r="M18" s="11" t="inlineStr">
        <is>
          <t>see how you build e-commerce solutions with WooCommerce and WordPress</t>
        </is>
      </c>
      <c r="N18" s="11" t="inlineStr">
        <is>
          <t>Comercio electrónico: WooCommerce, Shopify, Litium, integraciones ERP</t>
        </is>
      </c>
      <c r="O18" s="11" t="inlineStr">
        <is>
          <t>WooCommerce/WordPress (PHP)</t>
        </is>
      </c>
      <c r="P18" s="11" t="inlineStr">
        <is>
          <t>No confirmado</t>
        </is>
      </c>
      <c r="Q18" s="12" t="inlineStr">
        <is>
          <t>https://www.maksimer.no/</t>
        </is>
      </c>
      <c r="R18" s="9" t="inlineStr">
        <is>
          <t>+47 55 91 31 35</t>
        </is>
      </c>
      <c r="S18" s="9" t="inlineStr">
        <is>
          <t>Oslo (calle no publicada)</t>
        </is>
      </c>
      <c r="T18" s="12" t="inlineStr">
        <is>
          <t>https://www.maksimer.no/</t>
        </is>
      </c>
      <c r="U18" s="11" t="inlineStr">
        <is>
          <t>El teléfono es de Bergen: confirmar que tienen equipo en Oslo</t>
        </is>
      </c>
      <c r="V18" s="6" t="inlineStr">
        <is>
          <t>Pendiente</t>
        </is>
      </c>
      <c r="W18" s="7" t="n"/>
      <c r="X18" s="8" t="n"/>
      <c r="Y18" s="6" t="n"/>
    </row>
    <row r="19">
      <c r="A19" s="9" t="n">
        <v>18</v>
      </c>
      <c r="B19" s="9" t="inlineStr">
        <is>
          <t>Docente Oslo</t>
        </is>
      </c>
      <c r="C19" s="9" t="inlineStr">
        <is>
          <t>Jue 22 – vie 23 oct</t>
        </is>
      </c>
      <c r="D19" s="9" t="inlineStr">
        <is>
          <t>Sí</t>
        </is>
      </c>
      <c r="E19" s="9" t="inlineStr">
        <is>
          <t>2 · Empresas Oslo</t>
        </is>
      </c>
      <c r="F19" s="9" t="inlineStr">
        <is>
          <t>A</t>
        </is>
      </c>
      <c r="G19" s="9" t="inlineStr">
        <is>
          <t>Empresa</t>
        </is>
      </c>
      <c r="H19" s="9" t="inlineStr">
        <is>
          <t>Oslo</t>
        </is>
      </c>
      <c r="I19" s="10" t="inlineStr">
        <is>
          <t>Ramsalt Lab</t>
        </is>
      </c>
      <c r="J19" s="9" t="inlineStr">
        <is>
          <t>firmapost@ramsalt.com</t>
        </is>
      </c>
      <c r="K19" s="9" t="n"/>
      <c r="L19" s="9" t="inlineStr">
        <is>
          <t>Genérico</t>
        </is>
      </c>
      <c r="M19" s="11" t="inlineStr">
        <is>
          <t>see how you build and maintain Drupal (PHP) websites</t>
        </is>
      </c>
      <c r="N19" s="11" t="inlineStr">
        <is>
          <t>Agencia Drupal, socio de Acquia</t>
        </is>
      </c>
      <c r="O19" s="11" t="inlineStr">
        <is>
          <t>Drupal (PHP)</t>
        </is>
      </c>
      <c r="P19" s="11" t="inlineStr">
        <is>
          <t>No confirmado</t>
        </is>
      </c>
      <c r="Q19" s="12" t="inlineStr">
        <is>
          <t>https://ramsalt.com/</t>
        </is>
      </c>
      <c r="R19" s="9" t="inlineStr">
        <is>
          <t>+47 90 66 96 31</t>
        </is>
      </c>
      <c r="S19" s="9" t="inlineStr">
        <is>
          <t>Tordenskiolds gate 3, 0160 Oslo</t>
        </is>
      </c>
      <c r="T19" s="12" t="inlineStr">
        <is>
          <t>https://ramsalt.com/en/about</t>
        </is>
      </c>
      <c r="U19" s="11" t="n"/>
      <c r="V19" s="6" t="inlineStr">
        <is>
          <t>Pendiente</t>
        </is>
      </c>
      <c r="W19" s="7" t="n"/>
      <c r="X19" s="8" t="n"/>
      <c r="Y19" s="6" t="n"/>
    </row>
    <row r="20">
      <c r="A20" s="9" t="n">
        <v>19</v>
      </c>
      <c r="B20" s="9" t="inlineStr">
        <is>
          <t>Docente Oslo</t>
        </is>
      </c>
      <c r="C20" s="9" t="inlineStr">
        <is>
          <t>Jue 22 – vie 23 oct</t>
        </is>
      </c>
      <c r="D20" s="9" t="inlineStr">
        <is>
          <t>Sí</t>
        </is>
      </c>
      <c r="E20" s="9" t="inlineStr">
        <is>
          <t>2 · Empresas Oslo</t>
        </is>
      </c>
      <c r="F20" s="9" t="inlineStr">
        <is>
          <t>A</t>
        </is>
      </c>
      <c r="G20" s="9" t="inlineStr">
        <is>
          <t>Empresa</t>
        </is>
      </c>
      <c r="H20" s="9" t="inlineStr">
        <is>
          <t>Oslo</t>
        </is>
      </c>
      <c r="I20" s="10" t="inlineStr">
        <is>
          <t>Represent</t>
        </is>
      </c>
      <c r="J20" s="9" t="inlineStr">
        <is>
          <t>hello@represent.no</t>
        </is>
      </c>
      <c r="K20" s="9" t="n"/>
      <c r="L20" s="9" t="inlineStr">
        <is>
          <t>Genérico</t>
        </is>
      </c>
      <c r="M20" s="11" t="inlineStr">
        <is>
          <t>see how you build headless e-commerce websites with Next.js and Vue/Nuxt</t>
        </is>
      </c>
      <c r="N20" s="11" t="inlineStr">
        <is>
          <t>Web y comercio electrónico headless</t>
        </is>
      </c>
      <c r="O20" s="11" t="inlineStr">
        <is>
          <t>Sanity, Shopify, Next.js, Vue/Nuxt</t>
        </is>
      </c>
      <c r="P20" s="11" t="inlineStr">
        <is>
          <t>No confirmado</t>
        </is>
      </c>
      <c r="Q20" s="12" t="inlineStr">
        <is>
          <t>https://represent.no/</t>
        </is>
      </c>
      <c r="R20" s="9" t="inlineStr">
        <is>
          <t>+47 9016 8674</t>
        </is>
      </c>
      <c r="S20" s="9" t="inlineStr">
        <is>
          <t>Tollbugata 8a, 0152 Oslo</t>
        </is>
      </c>
      <c r="T20" s="12" t="inlineStr">
        <is>
          <t>https://represent.no/contact</t>
        </is>
      </c>
      <c r="U20" s="11" t="inlineStr">
        <is>
          <t>Equipo muy pequeño (~4 personas)</t>
        </is>
      </c>
      <c r="V20" s="6" t="inlineStr">
        <is>
          <t>Pendiente</t>
        </is>
      </c>
      <c r="W20" s="7" t="n"/>
      <c r="X20" s="8" t="n"/>
      <c r="Y20" s="6" t="n"/>
    </row>
    <row r="21">
      <c r="A21" s="9" t="n">
        <v>20</v>
      </c>
      <c r="B21" s="9" t="inlineStr">
        <is>
          <t>Docente Oslo</t>
        </is>
      </c>
      <c r="C21" s="9" t="inlineStr">
        <is>
          <t>Jue 22 – vie 23 oct</t>
        </is>
      </c>
      <c r="D21" s="9" t="inlineStr">
        <is>
          <t>Sí</t>
        </is>
      </c>
      <c r="E21" s="9" t="inlineStr">
        <is>
          <t>2 · Empresas Oslo</t>
        </is>
      </c>
      <c r="F21" s="9" t="inlineStr">
        <is>
          <t>A</t>
        </is>
      </c>
      <c r="G21" s="9" t="inlineStr">
        <is>
          <t>Empresa</t>
        </is>
      </c>
      <c r="H21" s="9" t="inlineStr">
        <is>
          <t>Oslo</t>
        </is>
      </c>
      <c r="I21" s="10" t="inlineStr">
        <is>
          <t>Skalar AS</t>
        </is>
      </c>
      <c r="J21" s="9" t="inlineStr">
        <is>
          <t>kontakt@skalar.no</t>
        </is>
      </c>
      <c r="K21" s="9" t="n"/>
      <c r="L21" s="9" t="inlineStr">
        <is>
          <t>Genérico</t>
        </is>
      </c>
      <c r="M21" s="11" t="inlineStr">
        <is>
          <t>learn how you build custom digital products with React and JavaScript</t>
        </is>
      </c>
      <c r="N21" s="11" t="inlineStr">
        <is>
          <t>Producto digital a medida</t>
        </is>
      </c>
      <c r="O21" s="11" t="inlineStr">
        <is>
          <t>React/JavaScript</t>
        </is>
      </c>
      <c r="P21" s="11" t="inlineStr">
        <is>
          <t>No confirmado</t>
        </is>
      </c>
      <c r="Q21" s="12" t="inlineStr">
        <is>
          <t>https://www.skalar.no/</t>
        </is>
      </c>
      <c r="R21" s="9" t="inlineStr">
        <is>
          <t>21 99 58 58</t>
        </is>
      </c>
      <c r="S21" s="9" t="inlineStr">
        <is>
          <t>Calmeyers gate 12, Oslo (web) / Christian Krohgs gate 34 (1881)</t>
        </is>
      </c>
      <c r="T21" s="12" t="inlineStr">
        <is>
          <t>https://www.1881.no/data-programvare-og-utvikling/data-programvare-og-utvikling-oslo/data-programvare-og-utvikling-grunerloekka/skalar-as_101306389S1/</t>
        </is>
      </c>
      <c r="U21" s="11" t="inlineStr">
        <is>
          <t>Correo de directorio (1881); equipo pequeño</t>
        </is>
      </c>
      <c r="V21" s="6" t="inlineStr">
        <is>
          <t>Pendiente</t>
        </is>
      </c>
      <c r="W21" s="7" t="n"/>
      <c r="X21" s="8" t="n"/>
      <c r="Y21" s="6" t="n"/>
    </row>
    <row r="22">
      <c r="A22" s="9" t="n">
        <v>21</v>
      </c>
      <c r="B22" s="9" t="inlineStr">
        <is>
          <t>Docente Oslo</t>
        </is>
      </c>
      <c r="C22" s="9" t="inlineStr">
        <is>
          <t>Jue 22 – vie 23 oct</t>
        </is>
      </c>
      <c r="D22" s="9" t="inlineStr">
        <is>
          <t>Sí</t>
        </is>
      </c>
      <c r="E22" s="9" t="inlineStr">
        <is>
          <t>2 · Empresas Oslo</t>
        </is>
      </c>
      <c r="F22" s="9" t="inlineStr">
        <is>
          <t>A</t>
        </is>
      </c>
      <c r="G22" s="9" t="inlineStr">
        <is>
          <t>Empresa</t>
        </is>
      </c>
      <c r="H22" s="9" t="inlineStr">
        <is>
          <t>Oslo</t>
        </is>
      </c>
      <c r="I22" s="10" t="inlineStr">
        <is>
          <t>Statnett</t>
        </is>
      </c>
      <c r="J22" s="9" t="inlineStr">
        <is>
          <t>laerling@statnett.no</t>
        </is>
      </c>
      <c r="K22" s="9" t="n"/>
      <c r="L22" s="9" t="inlineStr">
        <is>
          <t>Función (aprendices)</t>
        </is>
      </c>
      <c r="M22" s="11" t="inlineStr">
        <is>
          <t>learn how your IT apprenticeship programme (IT-utvikler) works</t>
        </is>
      </c>
      <c r="N22" s="11" t="inlineStr">
        <is>
          <t>Operador estatal de la red eléctrica</t>
        </is>
      </c>
      <c r="O22" s="11" t="inlineStr">
        <is>
          <t>Departamento de IT con aprendices</t>
        </is>
      </c>
      <c r="P22" s="11" t="inlineStr">
        <is>
          <t>Sí: 10–20 aprendices al año, también de IT-utvikler en Oslo</t>
        </is>
      </c>
      <c r="Q22" s="12" t="inlineStr">
        <is>
          <t>https://www.statnett.no/</t>
        </is>
      </c>
      <c r="R22" s="9" t="inlineStr">
        <is>
          <t>—</t>
        </is>
      </c>
      <c r="S22" s="9" t="inlineStr">
        <is>
          <t>Nydalen allé 33, 0484 Oslo</t>
        </is>
      </c>
      <c r="T22" s="12" t="inlineStr">
        <is>
          <t>https://www.statnett.no/karriere/laerling-i-statnett/</t>
        </is>
      </c>
      <c r="U22" s="11" t="inlineStr">
        <is>
          <t>El mejor encaje para conocer el sistema de aprendices noruego</t>
        </is>
      </c>
      <c r="V22" s="6" t="inlineStr">
        <is>
          <t>Pendiente</t>
        </is>
      </c>
      <c r="W22" s="7" t="n"/>
      <c r="X22" s="8" t="n"/>
      <c r="Y22" s="6" t="n"/>
    </row>
    <row r="23">
      <c r="A23" s="9" t="n">
        <v>22</v>
      </c>
      <c r="B23" s="9" t="inlineStr">
        <is>
          <t>Docente Oslo</t>
        </is>
      </c>
      <c r="C23" s="9" t="inlineStr">
        <is>
          <t>Jue 22 – vie 23 oct</t>
        </is>
      </c>
      <c r="D23" s="9" t="inlineStr">
        <is>
          <t>Sí</t>
        </is>
      </c>
      <c r="E23" s="9" t="inlineStr">
        <is>
          <t>2 · Empresas Oslo</t>
        </is>
      </c>
      <c r="F23" s="9" t="inlineStr">
        <is>
          <t>B</t>
        </is>
      </c>
      <c r="G23" s="9" t="inlineStr">
        <is>
          <t>Empresa</t>
        </is>
      </c>
      <c r="H23" s="9" t="inlineStr">
        <is>
          <t>Oslo</t>
        </is>
      </c>
      <c r="I23" s="10" t="inlineStr">
        <is>
          <t>Appsalon</t>
        </is>
      </c>
      <c r="J23" s="9" t="inlineStr">
        <is>
          <t>hello@appsalon.no</t>
        </is>
      </c>
      <c r="K23" s="9" t="n"/>
      <c r="L23" s="9" t="inlineStr">
        <is>
          <t>Genérico</t>
        </is>
      </c>
      <c r="M23" s="11" t="inlineStr">
        <is>
          <t>see how you build Shopify Plus solutions and B2B integrations</t>
        </is>
      </c>
      <c r="N23" s="11" t="inlineStr">
        <is>
          <t>Socio Shopify Plus; B2B e integraciones</t>
        </is>
      </c>
      <c r="O23" s="11" t="inlineStr">
        <is>
          <t>Shopify (JavaScript/Liquid)</t>
        </is>
      </c>
      <c r="P23" s="11" t="inlineStr">
        <is>
          <t>No confirmado</t>
        </is>
      </c>
      <c r="Q23" s="12" t="inlineStr">
        <is>
          <t>https://www.appsalon.no/</t>
        </is>
      </c>
      <c r="R23" s="9" t="inlineStr">
        <is>
          <t>—</t>
        </is>
      </c>
      <c r="S23" s="9" t="inlineStr">
        <is>
          <t>Kristian Augusts gate 13, 0164 Oslo</t>
        </is>
      </c>
      <c r="T23" s="12" t="inlineStr">
        <is>
          <t>https://www.appsalon.no/pages/kontakt-oss</t>
        </is>
      </c>
      <c r="U23" s="11" t="n"/>
      <c r="V23" s="6" t="inlineStr">
        <is>
          <t>Pendiente</t>
        </is>
      </c>
      <c r="W23" s="7" t="n"/>
      <c r="X23" s="8" t="n"/>
      <c r="Y23" s="6" t="n"/>
    </row>
    <row r="24">
      <c r="A24" s="9" t="n">
        <v>23</v>
      </c>
      <c r="B24" s="9" t="inlineStr">
        <is>
          <t>Docente Oslo</t>
        </is>
      </c>
      <c r="C24" s="9" t="inlineStr">
        <is>
          <t>Jue 22 – vie 23 oct</t>
        </is>
      </c>
      <c r="D24" s="9" t="inlineStr">
        <is>
          <t>Sí</t>
        </is>
      </c>
      <c r="E24" s="9" t="inlineStr">
        <is>
          <t>2 · Empresas Oslo</t>
        </is>
      </c>
      <c r="F24" s="9" t="inlineStr">
        <is>
          <t>B</t>
        </is>
      </c>
      <c r="G24" s="9" t="inlineStr">
        <is>
          <t>Empresa</t>
        </is>
      </c>
      <c r="H24" s="9" t="inlineStr">
        <is>
          <t>Oslo</t>
        </is>
      </c>
      <c r="I24" s="10" t="inlineStr">
        <is>
          <t>Arribatec</t>
        </is>
      </c>
      <c r="J24" s="9" t="inlineStr">
        <is>
          <t>info@arribatec.com</t>
        </is>
      </c>
      <c r="K24" s="9" t="n"/>
      <c r="L24" s="9" t="inlineStr">
        <is>
          <t>Genérico</t>
        </is>
      </c>
      <c r="M24" s="11" t="inlineStr">
        <is>
          <t>learn about your IT-utvikler apprenticeships and how your developers work</t>
        </is>
      </c>
      <c r="N24" s="11" t="inlineStr">
        <is>
          <t>Consultora IT</t>
        </is>
      </c>
      <c r="O24" s="11" t="inlineStr">
        <is>
          <t>No confirmado</t>
        </is>
      </c>
      <c r="P24" s="11" t="inlineStr">
        <is>
          <t>Sí, aprendiz de IT-utvikler en 2026, pero en Hamar</t>
        </is>
      </c>
      <c r="Q24" s="12" t="inlineStr">
        <is>
          <t>https://www.arribatec.com/</t>
        </is>
      </c>
      <c r="R24" s="9" t="inlineStr">
        <is>
          <t>+47 4000 3355</t>
        </is>
      </c>
      <c r="S24" s="9" t="inlineStr">
        <is>
          <t>Lørenfaret 1C, 0585 Oslo</t>
        </is>
      </c>
      <c r="T24" s="12" t="inlineStr">
        <is>
          <t>https://www.arribatec.com/</t>
        </is>
      </c>
      <c r="U24" s="11" t="n"/>
      <c r="V24" s="6" t="inlineStr">
        <is>
          <t>Pendiente</t>
        </is>
      </c>
      <c r="W24" s="7" t="n"/>
      <c r="X24" s="8" t="n"/>
      <c r="Y24" s="6" t="n"/>
    </row>
    <row r="25">
      <c r="A25" s="9" t="n">
        <v>24</v>
      </c>
      <c r="B25" s="9" t="inlineStr">
        <is>
          <t>Docente Oslo</t>
        </is>
      </c>
      <c r="C25" s="9" t="inlineStr">
        <is>
          <t>Jue 22 – vie 23 oct</t>
        </is>
      </c>
      <c r="D25" s="9" t="inlineStr">
        <is>
          <t>Sí</t>
        </is>
      </c>
      <c r="E25" s="9" t="inlineStr">
        <is>
          <t>2 · Empresas Oslo</t>
        </is>
      </c>
      <c r="F25" s="9" t="inlineStr">
        <is>
          <t>B</t>
        </is>
      </c>
      <c r="G25" s="9" t="inlineStr">
        <is>
          <t>Empresa</t>
        </is>
      </c>
      <c r="H25" s="9" t="inlineStr">
        <is>
          <t>Oslo</t>
        </is>
      </c>
      <c r="I25" s="10" t="inlineStr">
        <is>
          <t>Bakken &amp; Bæck</t>
        </is>
      </c>
      <c r="J25" s="9" t="inlineStr">
        <is>
          <t>hello@bakkenbaeck.com</t>
        </is>
      </c>
      <c r="K25" s="9" t="n"/>
      <c r="L25" s="9" t="inlineStr">
        <is>
          <t>Genérico</t>
        </is>
      </c>
      <c r="M25" s="11" t="inlineStr">
        <is>
          <t>learn how your Oslo studio designs and builds digital products</t>
        </is>
      </c>
      <c r="N25" s="11" t="inlineStr">
        <is>
          <t>Producto digital (oficinas en varios países)</t>
        </is>
      </c>
      <c r="O25" s="11" t="inlineStr">
        <is>
          <t>No declarado</t>
        </is>
      </c>
      <c r="P25" s="11" t="inlineStr">
        <is>
          <t>No confirmado</t>
        </is>
      </c>
      <c r="Q25" s="12" t="inlineStr">
        <is>
          <t>https://bakkenbaeck.com/</t>
        </is>
      </c>
      <c r="R25" s="9" t="inlineStr">
        <is>
          <t>—</t>
        </is>
      </c>
      <c r="S25" s="9" t="inlineStr">
        <is>
          <t>Trondheimsveien 135, 0570 Oslo</t>
        </is>
      </c>
      <c r="T25" s="12" t="inlineStr">
        <is>
          <t>https://bakkenbaeck.com/a-z</t>
        </is>
      </c>
      <c r="U25" s="11" t="n"/>
      <c r="V25" s="6" t="inlineStr">
        <is>
          <t>Pendiente</t>
        </is>
      </c>
      <c r="W25" s="7" t="n"/>
      <c r="X25" s="8" t="n"/>
      <c r="Y25" s="6" t="n"/>
    </row>
    <row r="26">
      <c r="A26" s="9" t="n">
        <v>25</v>
      </c>
      <c r="B26" s="9" t="inlineStr">
        <is>
          <t>Docente Oslo</t>
        </is>
      </c>
      <c r="C26" s="9" t="inlineStr">
        <is>
          <t>Jue 22 – vie 23 oct</t>
        </is>
      </c>
      <c r="D26" s="9" t="inlineStr">
        <is>
          <t>Sí</t>
        </is>
      </c>
      <c r="E26" s="9" t="inlineStr">
        <is>
          <t>2 · Empresas Oslo</t>
        </is>
      </c>
      <c r="F26" s="9" t="inlineStr">
        <is>
          <t>B</t>
        </is>
      </c>
      <c r="G26" s="9" t="inlineStr">
        <is>
          <t>Empresa</t>
        </is>
      </c>
      <c r="H26" s="9" t="inlineStr">
        <is>
          <t>Oslo</t>
        </is>
      </c>
      <c r="I26" s="10" t="inlineStr">
        <is>
          <t>Bekk</t>
        </is>
      </c>
      <c r="J26" s="9" t="inlineStr">
        <is>
          <t>hei@bekk.no</t>
        </is>
      </c>
      <c r="K26" s="9" t="n"/>
      <c r="L26" s="9" t="inlineStr">
        <is>
          <t>Genérico</t>
        </is>
      </c>
      <c r="M26" s="11" t="inlineStr">
        <is>
          <t>learn how your teams build digital products and how you work with students</t>
        </is>
      </c>
      <c r="N26" s="11" t="inlineStr">
        <is>
          <t>Consultora IT</t>
        </is>
      </c>
      <c r="O26" s="11" t="inlineStr">
        <is>
          <t>Desarrollo de software</t>
        </is>
      </c>
      <c r="P26" s="11" t="inlineStr">
        <is>
          <t>Ofertas de verano para estudiantes</t>
        </is>
      </c>
      <c r="Q26" s="12" t="inlineStr">
        <is>
          <t>https://www.bekk.no/</t>
        </is>
      </c>
      <c r="R26" s="9" t="inlineStr">
        <is>
          <t>+47 23 35 77 00</t>
        </is>
      </c>
      <c r="S26" s="9" t="inlineStr">
        <is>
          <t>Akershusstranda 21, 0150 Oslo</t>
        </is>
      </c>
      <c r="T26" s="12" t="inlineStr">
        <is>
          <t>https://www.bekk.no/kontakt</t>
        </is>
      </c>
      <c r="U26" s="11" t="n"/>
      <c r="V26" s="6" t="inlineStr">
        <is>
          <t>Pendiente</t>
        </is>
      </c>
      <c r="W26" s="7" t="n"/>
      <c r="X26" s="8" t="n"/>
      <c r="Y26" s="6" t="n"/>
    </row>
    <row r="27">
      <c r="A27" s="9" t="n">
        <v>26</v>
      </c>
      <c r="B27" s="9" t="inlineStr">
        <is>
          <t>Docente Oslo</t>
        </is>
      </c>
      <c r="C27" s="9" t="inlineStr">
        <is>
          <t>Jue 22 – vie 23 oct</t>
        </is>
      </c>
      <c r="D27" s="9" t="inlineStr">
        <is>
          <t>Sí</t>
        </is>
      </c>
      <c r="E27" s="9" t="inlineStr">
        <is>
          <t>2 · Empresas Oslo</t>
        </is>
      </c>
      <c r="F27" s="9" t="inlineStr">
        <is>
          <t>B</t>
        </is>
      </c>
      <c r="G27" s="9" t="inlineStr">
        <is>
          <t>Empresa</t>
        </is>
      </c>
      <c r="H27" s="9" t="inlineStr">
        <is>
          <t>Oslo</t>
        </is>
      </c>
      <c r="I27" s="10" t="inlineStr">
        <is>
          <t>Enonic</t>
        </is>
      </c>
      <c r="J27" s="9" t="inlineStr">
        <is>
          <t>hello@enonic.com</t>
        </is>
      </c>
      <c r="K27" s="9" t="n"/>
      <c r="L27" s="9" t="inlineStr">
        <is>
          <t>Genérico</t>
        </is>
      </c>
      <c r="M27" s="11" t="inlineStr">
        <is>
          <t>learn how you develop your CMS platform and how clients build headless front ends on it</t>
        </is>
      </c>
      <c r="N27" s="11" t="inlineStr">
        <is>
          <t>Software CMS (Enonic XP, headless)</t>
        </is>
      </c>
      <c r="O27" s="11" t="inlineStr">
        <is>
          <t>Java; Next.js en los casos de uso</t>
        </is>
      </c>
      <c r="P27" s="11" t="inlineStr">
        <is>
          <t>No confirmado</t>
        </is>
      </c>
      <c r="Q27" s="12" t="inlineStr">
        <is>
          <t>https://enonic.com/</t>
        </is>
      </c>
      <c r="R27" s="9" t="inlineStr">
        <is>
          <t>+47 22 00 85 50</t>
        </is>
      </c>
      <c r="S27" s="9" t="inlineStr">
        <is>
          <t>Kirkegata 1-3, 0153 Oslo</t>
        </is>
      </c>
      <c r="T27" s="12" t="inlineStr">
        <is>
          <t>https://enonic.com/contact</t>
        </is>
      </c>
      <c r="U27" s="11" t="n"/>
      <c r="V27" s="6" t="inlineStr">
        <is>
          <t>Pendiente</t>
        </is>
      </c>
      <c r="W27" s="7" t="n"/>
      <c r="X27" s="8" t="n"/>
      <c r="Y27" s="6" t="n"/>
    </row>
    <row r="28">
      <c r="A28" s="9" t="n">
        <v>27</v>
      </c>
      <c r="B28" s="9" t="inlineStr">
        <is>
          <t>Docente Oslo</t>
        </is>
      </c>
      <c r="C28" s="9" t="inlineStr">
        <is>
          <t>Jue 22 – vie 23 oct</t>
        </is>
      </c>
      <c r="D28" s="9" t="inlineStr">
        <is>
          <t>Sí</t>
        </is>
      </c>
      <c r="E28" s="9" t="inlineStr">
        <is>
          <t>2 · Empresas Oslo</t>
        </is>
      </c>
      <c r="F28" s="9" t="inlineStr">
        <is>
          <t>B</t>
        </is>
      </c>
      <c r="G28" s="9" t="inlineStr">
        <is>
          <t>Empresa</t>
        </is>
      </c>
      <c r="H28" s="9" t="inlineStr">
        <is>
          <t>Oslo</t>
        </is>
      </c>
      <c r="I28" s="10" t="inlineStr">
        <is>
          <t>Increo (grupo 99x)</t>
        </is>
      </c>
      <c r="J28" s="9" t="inlineStr">
        <is>
          <t>hei@increo.no</t>
        </is>
      </c>
      <c r="K28" s="9" t="n"/>
      <c r="L28" s="9" t="inlineStr">
        <is>
          <t>Genérico</t>
        </is>
      </c>
      <c r="M28" s="11" t="inlineStr">
        <is>
          <t>learn how you develop custom digital solutions</t>
        </is>
      </c>
      <c r="N28" s="11" t="inlineStr">
        <is>
          <t>Desarrollo digital a medida</t>
        </is>
      </c>
      <c r="O28" s="11" t="inlineStr">
        <is>
          <t>No declarado</t>
        </is>
      </c>
      <c r="P28" s="11" t="inlineStr">
        <is>
          <t>No confirmado</t>
        </is>
      </c>
      <c r="Q28" s="12" t="inlineStr">
        <is>
          <t>https://increo.no/</t>
        </is>
      </c>
      <c r="R28" s="9" t="inlineStr">
        <is>
          <t>466 24 000</t>
        </is>
      </c>
      <c r="S28" s="9" t="inlineStr">
        <is>
          <t>Dronning Eufemias gate 16, 0191 Oslo</t>
        </is>
      </c>
      <c r="T28" s="12" t="inlineStr">
        <is>
          <t>https://increo.no/en/contact</t>
        </is>
      </c>
      <c r="U28" s="11" t="n"/>
      <c r="V28" s="6" t="inlineStr">
        <is>
          <t>Pendiente</t>
        </is>
      </c>
      <c r="W28" s="7" t="n"/>
      <c r="X28" s="8" t="n"/>
      <c r="Y28" s="6" t="n"/>
    </row>
    <row r="29">
      <c r="A29" s="9" t="n">
        <v>28</v>
      </c>
      <c r="B29" s="9" t="inlineStr">
        <is>
          <t>Docente Oslo</t>
        </is>
      </c>
      <c r="C29" s="9" t="inlineStr">
        <is>
          <t>Jue 22 – vie 23 oct</t>
        </is>
      </c>
      <c r="D29" s="9" t="inlineStr">
        <is>
          <t>Sí</t>
        </is>
      </c>
      <c r="E29" s="9" t="inlineStr">
        <is>
          <t>2 · Empresas Oslo</t>
        </is>
      </c>
      <c r="F29" s="9" t="inlineStr">
        <is>
          <t>B</t>
        </is>
      </c>
      <c r="G29" s="9" t="inlineStr">
        <is>
          <t>Empresa</t>
        </is>
      </c>
      <c r="H29" s="9" t="inlineStr">
        <is>
          <t>Oslo</t>
        </is>
      </c>
      <c r="I29" s="10" t="inlineStr">
        <is>
          <t>Kantega</t>
        </is>
      </c>
      <c r="J29" s="9" t="inlineStr">
        <is>
          <t>erland.rustebakke@kantega.no</t>
        </is>
      </c>
      <c r="K29" s="9" t="n"/>
      <c r="L29" s="9" t="inlineStr">
        <is>
          <t>Persona (contacto publicado de la oficina de Oslo)</t>
        </is>
      </c>
      <c r="M29" s="11" t="inlineStr">
        <is>
          <t>learn how your Oslo office works and about your summer projects with student teams</t>
        </is>
      </c>
      <c r="N29" s="11" t="inlineStr">
        <is>
          <t>Consultora de software</t>
        </is>
      </c>
      <c r="O29" s="11" t="inlineStr">
        <is>
          <t>Desarrollo de software</t>
        </is>
      </c>
      <c r="P29" s="11" t="inlineStr">
        <is>
          <t>Estudiantes de verano y proyectos con equipos de estudiantes</t>
        </is>
      </c>
      <c r="Q29" s="12" t="inlineStr">
        <is>
          <t>https://www.kantega.no/</t>
        </is>
      </c>
      <c r="R29" s="9" t="inlineStr">
        <is>
          <t>+47 90 59 17 44</t>
        </is>
      </c>
      <c r="S29" s="9" t="inlineStr">
        <is>
          <t>Kirkegata 5, 0153 Oslo</t>
        </is>
      </c>
      <c r="T29" s="12" t="inlineStr">
        <is>
          <t>https://www.kantega.no/kontakt</t>
        </is>
      </c>
      <c r="U29" s="11" t="inlineStr">
        <is>
          <t>Sin buzón genérico: es el líder de la oficina de Oslo</t>
        </is>
      </c>
      <c r="V29" s="6" t="inlineStr">
        <is>
          <t>Pendiente</t>
        </is>
      </c>
      <c r="W29" s="7" t="n"/>
      <c r="X29" s="8" t="n"/>
      <c r="Y29" s="6" t="n"/>
    </row>
    <row r="30">
      <c r="A30" s="9" t="n">
        <v>29</v>
      </c>
      <c r="B30" s="9" t="inlineStr">
        <is>
          <t>Docente Oslo</t>
        </is>
      </c>
      <c r="C30" s="9" t="inlineStr">
        <is>
          <t>Jue 22 – vie 23 oct</t>
        </is>
      </c>
      <c r="D30" s="9" t="inlineStr">
        <is>
          <t>Sí</t>
        </is>
      </c>
      <c r="E30" s="9" t="inlineStr">
        <is>
          <t>2 · Empresas Oslo</t>
        </is>
      </c>
      <c r="F30" s="9" t="inlineStr">
        <is>
          <t>B</t>
        </is>
      </c>
      <c r="G30" s="9" t="inlineStr">
        <is>
          <t>Empresa</t>
        </is>
      </c>
      <c r="H30" s="9" t="inlineStr">
        <is>
          <t>Oslo</t>
        </is>
      </c>
      <c r="I30" s="10" t="inlineStr">
        <is>
          <t>Mediabooster</t>
        </is>
      </c>
      <c r="J30" s="9" t="inlineStr">
        <is>
          <t>post@mediabooster.no</t>
        </is>
      </c>
      <c r="K30" s="9" t="n"/>
      <c r="L30" s="9" t="inlineStr">
        <is>
          <t>Genérico</t>
        </is>
      </c>
      <c r="M30" s="11" t="inlineStr">
        <is>
          <t>learn how you build custom websites and portals</t>
        </is>
      </c>
      <c r="N30" s="11" t="inlineStr">
        <is>
          <t>Web a medida, portales, IA y marketing</t>
        </is>
      </c>
      <c r="O30" s="11" t="inlineStr">
        <is>
          <t>No declarado</t>
        </is>
      </c>
      <c r="P30" s="11" t="inlineStr">
        <is>
          <t>No confirmado</t>
        </is>
      </c>
      <c r="Q30" s="12" t="inlineStr">
        <is>
          <t>https://www.mediabooster.no/</t>
        </is>
      </c>
      <c r="R30" s="9" t="inlineStr">
        <is>
          <t>+47 978 88 827</t>
        </is>
      </c>
      <c r="S30" s="9" t="inlineStr">
        <is>
          <t>Ensjøveien 16, 0655 Oslo</t>
        </is>
      </c>
      <c r="T30" s="12" t="inlineStr">
        <is>
          <t>https://www.mediabooster.no/</t>
        </is>
      </c>
      <c r="U30" s="11" t="inlineStr">
        <is>
          <t>Más marketing que desarrollo</t>
        </is>
      </c>
      <c r="V30" s="6" t="inlineStr">
        <is>
          <t>Pendiente</t>
        </is>
      </c>
      <c r="W30" s="7" t="n"/>
      <c r="X30" s="8" t="n"/>
      <c r="Y30" s="6" t="n"/>
    </row>
    <row r="31">
      <c r="A31" s="9" t="n">
        <v>30</v>
      </c>
      <c r="B31" s="9" t="inlineStr">
        <is>
          <t>Docente Oslo</t>
        </is>
      </c>
      <c r="C31" s="9" t="inlineStr">
        <is>
          <t>Jue 22 – vie 23 oct</t>
        </is>
      </c>
      <c r="D31" s="9" t="inlineStr">
        <is>
          <t>Sí</t>
        </is>
      </c>
      <c r="E31" s="9" t="inlineStr">
        <is>
          <t>2 · Empresas Oslo</t>
        </is>
      </c>
      <c r="F31" s="9" t="inlineStr">
        <is>
          <t>B</t>
        </is>
      </c>
      <c r="G31" s="9" t="inlineStr">
        <is>
          <t>Empresa</t>
        </is>
      </c>
      <c r="H31" s="9" t="inlineStr">
        <is>
          <t>Oslo</t>
        </is>
      </c>
      <c r="I31" s="10" t="inlineStr">
        <is>
          <t>Netlight</t>
        </is>
      </c>
      <c r="J31" s="9" t="inlineStr">
        <is>
          <t>info@netlight.no</t>
        </is>
      </c>
      <c r="K31" s="9" t="n"/>
      <c r="L31" s="9" t="inlineStr">
        <is>
          <t>Genérico</t>
        </is>
      </c>
      <c r="M31" s="11" t="inlineStr">
        <is>
          <t>learn how your consultants work and how you have engaged with students</t>
        </is>
      </c>
      <c r="N31" s="11" t="inlineStr">
        <is>
          <t>Consultora de desarrollo y UX</t>
        </is>
      </c>
      <c r="O31" s="11" t="inlineStr">
        <is>
          <t>Desarrollo de software</t>
        </is>
      </c>
      <c r="P31" s="11" t="inlineStr">
        <is>
          <t>Programa para estudiantes en 2023 (cerrado)</t>
        </is>
      </c>
      <c r="Q31" s="12" t="inlineStr">
        <is>
          <t>https://www.netlight.com/</t>
        </is>
      </c>
      <c r="R31" s="9" t="inlineStr">
        <is>
          <t>+47 22 42 51 50</t>
        </is>
      </c>
      <c r="S31" s="9" t="inlineStr">
        <is>
          <t>Grubbegata 4, 0179 Oslo</t>
        </is>
      </c>
      <c r="T31" s="12" t="inlineStr">
        <is>
          <t>https://www.netlight.com/contact/</t>
        </is>
      </c>
      <c r="U31" s="11" t="n"/>
      <c r="V31" s="6" t="inlineStr">
        <is>
          <t>Pendiente</t>
        </is>
      </c>
      <c r="W31" s="7" t="n"/>
      <c r="X31" s="8" t="n"/>
      <c r="Y31" s="6" t="n"/>
    </row>
    <row r="32">
      <c r="A32" s="9" t="n">
        <v>31</v>
      </c>
      <c r="B32" s="9" t="inlineStr">
        <is>
          <t>Docente Oslo</t>
        </is>
      </c>
      <c r="C32" s="9" t="inlineStr">
        <is>
          <t>Jue 22 – vie 23 oct</t>
        </is>
      </c>
      <c r="D32" s="9" t="inlineStr">
        <is>
          <t>Sí</t>
        </is>
      </c>
      <c r="E32" s="9" t="inlineStr">
        <is>
          <t>2 · Empresas Oslo</t>
        </is>
      </c>
      <c r="F32" s="9" t="inlineStr">
        <is>
          <t>B</t>
        </is>
      </c>
      <c r="G32" s="9" t="inlineStr">
        <is>
          <t>Empresa</t>
        </is>
      </c>
      <c r="H32" s="9" t="inlineStr">
        <is>
          <t>Oslo</t>
        </is>
      </c>
      <c r="I32" s="10" t="inlineStr">
        <is>
          <t>Nettfokus</t>
        </is>
      </c>
      <c r="J32" s="9" t="inlineStr">
        <is>
          <t>post@nettfokus.no</t>
        </is>
      </c>
      <c r="K32" s="9" t="n"/>
      <c r="L32" s="9" t="inlineStr">
        <is>
          <t>Genérico</t>
        </is>
      </c>
      <c r="M32" s="11" t="inlineStr">
        <is>
          <t>see how you build websites, online shops and CRM solutions</t>
        </is>
      </c>
      <c r="N32" s="11" t="inlineStr">
        <is>
          <t>Webs, tiendas online y CRM</t>
        </is>
      </c>
      <c r="O32" s="11" t="inlineStr">
        <is>
          <t>Web y comercio electrónico</t>
        </is>
      </c>
      <c r="P32" s="11" t="inlineStr">
        <is>
          <t>No confirmado</t>
        </is>
      </c>
      <c r="Q32" s="12" t="inlineStr">
        <is>
          <t>https://www.nettfokus.no/</t>
        </is>
      </c>
      <c r="R32" s="9" t="inlineStr">
        <is>
          <t>+47 32 99 44 47</t>
        </is>
      </c>
      <c r="S32" s="9" t="inlineStr">
        <is>
          <t>Johanne Dybwads plass 1, 0161 Oslo</t>
        </is>
      </c>
      <c r="T32" s="12" t="inlineStr">
        <is>
          <t>https://www.nettfokus.no/</t>
        </is>
      </c>
      <c r="U32" s="11" t="inlineStr">
        <is>
          <t>El prefijo 32 es de Buskerud: puede que tengan presencia cerca de Drammen</t>
        </is>
      </c>
      <c r="V32" s="6" t="inlineStr">
        <is>
          <t>Pendiente</t>
        </is>
      </c>
      <c r="W32" s="7" t="n"/>
      <c r="X32" s="8" t="n"/>
      <c r="Y32" s="6" t="n"/>
    </row>
    <row r="33">
      <c r="A33" s="9" t="n">
        <v>32</v>
      </c>
      <c r="B33" s="9" t="inlineStr">
        <is>
          <t>Docente Oslo</t>
        </is>
      </c>
      <c r="C33" s="9" t="inlineStr">
        <is>
          <t>Jue 22 – vie 23 oct</t>
        </is>
      </c>
      <c r="D33" s="9" t="inlineStr">
        <is>
          <t>Sí</t>
        </is>
      </c>
      <c r="E33" s="9" t="inlineStr">
        <is>
          <t>2 · Empresas Oslo</t>
        </is>
      </c>
      <c r="F33" s="9" t="inlineStr">
        <is>
          <t>C</t>
        </is>
      </c>
      <c r="G33" s="9" t="inlineStr">
        <is>
          <t>Empresa</t>
        </is>
      </c>
      <c r="H33" s="9" t="inlineStr">
        <is>
          <t>Oslo</t>
        </is>
      </c>
      <c r="I33" s="10" t="inlineStr">
        <is>
          <t>A2N (CoreTrek)</t>
        </is>
      </c>
      <c r="J33" s="9" t="inlineStr">
        <is>
          <t>info@coretrek.no</t>
        </is>
      </c>
      <c r="K33" s="9" t="n"/>
      <c r="L33" s="9" t="inlineStr">
        <is>
          <t>Genérico (sin etiqueta)</t>
        </is>
      </c>
      <c r="M33" s="11" t="inlineStr">
        <is>
          <t>learn how you build WordPress websites</t>
        </is>
      </c>
      <c r="N33" s="11" t="inlineStr">
        <is>
          <t>Web y marketing digital</t>
        </is>
      </c>
      <c r="O33" s="11" t="inlineStr">
        <is>
          <t>WordPress</t>
        </is>
      </c>
      <c r="P33" s="11" t="inlineStr">
        <is>
          <t>No confirmado</t>
        </is>
      </c>
      <c r="Q33" s="12" t="inlineStr">
        <is>
          <t>https://a2n.no/</t>
        </is>
      </c>
      <c r="R33" s="9" t="inlineStr">
        <is>
          <t>+47 99 55 93 93</t>
        </is>
      </c>
      <c r="S33" s="9" t="inlineStr">
        <is>
          <t>Waldemar Thranes gate 86C, 0175 Oslo</t>
        </is>
      </c>
      <c r="T33" s="12" t="inlineStr">
        <is>
          <t>https://a2n.no/</t>
        </is>
      </c>
      <c r="U33" s="11" t="inlineStr">
        <is>
          <t>Fusionada con CoreTrek</t>
        </is>
      </c>
      <c r="V33" s="6" t="inlineStr">
        <is>
          <t>Pendiente</t>
        </is>
      </c>
      <c r="W33" s="7" t="n"/>
      <c r="X33" s="8" t="n"/>
      <c r="Y33" s="6" t="n"/>
    </row>
    <row r="34">
      <c r="A34" s="9" t="n">
        <v>33</v>
      </c>
      <c r="B34" s="9" t="inlineStr">
        <is>
          <t>Docente Oslo</t>
        </is>
      </c>
      <c r="C34" s="9" t="inlineStr">
        <is>
          <t>Jue 22 – vie 23 oct</t>
        </is>
      </c>
      <c r="D34" s="9" t="inlineStr">
        <is>
          <t>Sí</t>
        </is>
      </c>
      <c r="E34" s="9" t="inlineStr">
        <is>
          <t>2 · Empresas Oslo</t>
        </is>
      </c>
      <c r="F34" s="9" t="inlineStr">
        <is>
          <t>C</t>
        </is>
      </c>
      <c r="G34" s="9" t="inlineStr">
        <is>
          <t>Empresa</t>
        </is>
      </c>
      <c r="H34" s="9" t="inlineStr">
        <is>
          <t>Oslo</t>
        </is>
      </c>
      <c r="I34" s="10" t="inlineStr">
        <is>
          <t>ANTI</t>
        </is>
      </c>
      <c r="J34" s="9" t="inlineStr">
        <is>
          <t>osl@anti.as</t>
        </is>
      </c>
      <c r="K34" s="9" t="n"/>
      <c r="L34" s="9" t="inlineStr">
        <is>
          <t>Genérico (oficina de Oslo)</t>
        </is>
      </c>
      <c r="M34" s="11" t="inlineStr">
        <is>
          <t>see how a creative agency builds websites, apps and online shops</t>
        </is>
      </c>
      <c r="N34" s="11" t="inlineStr">
        <is>
          <t>Agencia creativa: web, apps, comercio electrónico</t>
        </is>
      </c>
      <c r="O34" s="11" t="inlineStr">
        <is>
          <t>No declarado</t>
        </is>
      </c>
      <c r="P34" s="11" t="inlineStr">
        <is>
          <t>No confirmado</t>
        </is>
      </c>
      <c r="Q34" s="12" t="inlineStr">
        <is>
          <t>https://www.anti.as/</t>
        </is>
      </c>
      <c r="R34" s="9" t="inlineStr">
        <is>
          <t>+47 481 00 666</t>
        </is>
      </c>
      <c r="S34" s="9" t="inlineStr">
        <is>
          <t>Sofienberggata 17, 0558 Oslo</t>
        </is>
      </c>
      <c r="T34" s="12" t="inlineStr">
        <is>
          <t>https://www.anti.as/</t>
        </is>
      </c>
      <c r="U34" s="11" t="n"/>
      <c r="V34" s="6" t="inlineStr">
        <is>
          <t>Pendiente</t>
        </is>
      </c>
      <c r="W34" s="7" t="n"/>
      <c r="X34" s="8" t="n"/>
      <c r="Y34" s="6" t="n"/>
    </row>
    <row r="35">
      <c r="A35" s="9" t="n">
        <v>34</v>
      </c>
      <c r="B35" s="9" t="inlineStr">
        <is>
          <t>Docente Oslo</t>
        </is>
      </c>
      <c r="C35" s="9" t="inlineStr">
        <is>
          <t>Jue 22 – vie 23 oct</t>
        </is>
      </c>
      <c r="D35" s="9" t="inlineStr">
        <is>
          <t>Sí</t>
        </is>
      </c>
      <c r="E35" s="9" t="inlineStr">
        <is>
          <t>2 · Empresas Oslo</t>
        </is>
      </c>
      <c r="F35" s="9" t="inlineStr">
        <is>
          <t>C</t>
        </is>
      </c>
      <c r="G35" s="9" t="inlineStr">
        <is>
          <t>Empresa</t>
        </is>
      </c>
      <c r="H35" s="9" t="inlineStr">
        <is>
          <t>Oslo</t>
        </is>
      </c>
      <c r="I35" s="10" t="inlineStr">
        <is>
          <t>Computas</t>
        </is>
      </c>
      <c r="J35" s="9" t="inlineStr">
        <is>
          <t>contact@computas.com</t>
        </is>
      </c>
      <c r="K35" s="9" t="n"/>
      <c r="L35" s="9" t="inlineStr">
        <is>
          <t>Genérico</t>
        </is>
      </c>
      <c r="M35" s="11" t="inlineStr">
        <is>
          <t>learn how you build IT solutions for the public and private sector</t>
        </is>
      </c>
      <c r="N35" s="11" t="inlineStr">
        <is>
          <t>Consultora IT para sector público y privado</t>
        </is>
      </c>
      <c r="O35" s="11" t="inlineStr">
        <is>
          <t>No confirmado</t>
        </is>
      </c>
      <c r="P35" s="11" t="inlineStr">
        <is>
          <t>Programa de verano en 2024</t>
        </is>
      </c>
      <c r="Q35" s="12" t="inlineStr">
        <is>
          <t>https://www.computas.com/</t>
        </is>
      </c>
      <c r="R35" s="9" t="inlineStr">
        <is>
          <t>+47 21 99 33 20</t>
        </is>
      </c>
      <c r="S35" s="9" t="inlineStr">
        <is>
          <t>Akersgata 35, 0158 Oslo</t>
        </is>
      </c>
      <c r="T35" s="12" t="inlineStr">
        <is>
          <t>https://www.computas.com/</t>
        </is>
      </c>
      <c r="U35" s="11" t="n"/>
      <c r="V35" s="6" t="inlineStr">
        <is>
          <t>Pendiente</t>
        </is>
      </c>
      <c r="W35" s="7" t="n"/>
      <c r="X35" s="8" t="n"/>
      <c r="Y35" s="6" t="n"/>
    </row>
    <row r="36">
      <c r="A36" s="9" t="n">
        <v>35</v>
      </c>
      <c r="B36" s="9" t="inlineStr">
        <is>
          <t>Docente Oslo</t>
        </is>
      </c>
      <c r="C36" s="9" t="inlineStr">
        <is>
          <t>Jue 22 – vie 23 oct</t>
        </is>
      </c>
      <c r="D36" s="9" t="inlineStr">
        <is>
          <t>Sí</t>
        </is>
      </c>
      <c r="E36" s="9" t="inlineStr">
        <is>
          <t>2 · Empresas Oslo</t>
        </is>
      </c>
      <c r="F36" s="9" t="inlineStr">
        <is>
          <t>C</t>
        </is>
      </c>
      <c r="G36" s="9" t="inlineStr">
        <is>
          <t>Empresa</t>
        </is>
      </c>
      <c r="H36" s="9" t="inlineStr">
        <is>
          <t>Oslo</t>
        </is>
      </c>
      <c r="I36" s="10" t="inlineStr">
        <is>
          <t>Fink</t>
        </is>
      </c>
      <c r="J36" s="9" t="inlineStr">
        <is>
          <t>hei@fink.no</t>
        </is>
      </c>
      <c r="K36" s="9" t="n"/>
      <c r="L36" s="9" t="inlineStr">
        <is>
          <t>Genérico</t>
        </is>
      </c>
      <c r="M36" s="11" t="inlineStr">
        <is>
          <t>learn how your developers and designers work together</t>
        </is>
      </c>
      <c r="N36" s="11" t="inlineStr">
        <is>
          <t>Consultora digital</t>
        </is>
      </c>
      <c r="O36" s="11" t="inlineStr">
        <is>
          <t>No confirmado</t>
        </is>
      </c>
      <c r="P36" s="11" t="inlineStr">
        <is>
          <t>No confirmado</t>
        </is>
      </c>
      <c r="Q36" s="12" t="inlineStr">
        <is>
          <t>https://www.fink.no/</t>
        </is>
      </c>
      <c r="R36" s="9" t="inlineStr">
        <is>
          <t>+47 988 52 149</t>
        </is>
      </c>
      <c r="S36" s="9" t="inlineStr">
        <is>
          <t>Youngstorget 2B, 0181 Oslo</t>
        </is>
      </c>
      <c r="T36" s="12" t="inlineStr">
        <is>
          <t>https://www.fink.no/</t>
        </is>
      </c>
      <c r="U36" s="11" t="inlineStr">
        <is>
          <t>Correo protegido en la web: comprobar que no rebota</t>
        </is>
      </c>
      <c r="V36" s="6" t="inlineStr">
        <is>
          <t>Pendiente</t>
        </is>
      </c>
      <c r="W36" s="7" t="n"/>
      <c r="X36" s="8" t="n"/>
      <c r="Y36" s="6" t="n"/>
    </row>
    <row r="37">
      <c r="A37" s="9" t="n">
        <v>36</v>
      </c>
      <c r="B37" s="9" t="inlineStr">
        <is>
          <t>Docente Oslo</t>
        </is>
      </c>
      <c r="C37" s="9" t="inlineStr">
        <is>
          <t>Jue 22 – vie 23 oct</t>
        </is>
      </c>
      <c r="D37" s="9" t="inlineStr">
        <is>
          <t>Sí</t>
        </is>
      </c>
      <c r="E37" s="9" t="inlineStr">
        <is>
          <t>2 · Empresas Oslo</t>
        </is>
      </c>
      <c r="F37" s="9" t="inlineStr">
        <is>
          <t>C</t>
        </is>
      </c>
      <c r="G37" s="9" t="inlineStr">
        <is>
          <t>Empresa</t>
        </is>
      </c>
      <c r="H37" s="9" t="inlineStr">
        <is>
          <t>Oslo</t>
        </is>
      </c>
      <c r="I37" s="10" t="inlineStr">
        <is>
          <t>Frontkom</t>
        </is>
      </c>
      <c r="J37" s="9" t="inlineStr">
        <is>
          <t>carlfredrik.sandaker@frontkom.com</t>
        </is>
      </c>
      <c r="K37" s="9" t="n"/>
      <c r="L37" s="9" t="inlineStr">
        <is>
          <t>Persona (contacto publicado de la oficina)</t>
        </is>
      </c>
      <c r="M37" s="11" t="inlineStr">
        <is>
          <t>learn how your Oslo team works on digital projects</t>
        </is>
      </c>
      <c r="N37" s="11" t="inlineStr">
        <is>
          <t>Agencia digital (Noruega, Polonia, Portugal)</t>
        </is>
      </c>
      <c r="O37" s="11" t="inlineStr">
        <is>
          <t>No declarado</t>
        </is>
      </c>
      <c r="P37" s="11" t="inlineStr">
        <is>
          <t>No confirmado</t>
        </is>
      </c>
      <c r="Q37" s="12" t="inlineStr">
        <is>
          <t>https://frontkom.com/</t>
        </is>
      </c>
      <c r="R37" s="9" t="inlineStr">
        <is>
          <t>—</t>
        </is>
      </c>
      <c r="S37" s="9" t="inlineStr">
        <is>
          <t>Edvard Storms gate 2, 0166 Oslo</t>
        </is>
      </c>
      <c r="T37" s="12" t="inlineStr">
        <is>
          <t>https://frontkom.com/contact</t>
        </is>
      </c>
      <c r="U37" s="11" t="inlineStr">
        <is>
          <t>Solo publican un correo personal</t>
        </is>
      </c>
      <c r="V37" s="6" t="inlineStr">
        <is>
          <t>Pendiente</t>
        </is>
      </c>
      <c r="W37" s="7" t="n"/>
      <c r="X37" s="8" t="n"/>
      <c r="Y37" s="6" t="n"/>
    </row>
    <row r="38">
      <c r="A38" s="9" t="n">
        <v>37</v>
      </c>
      <c r="B38" s="9" t="inlineStr">
        <is>
          <t>Docente Oslo</t>
        </is>
      </c>
      <c r="C38" s="9" t="inlineStr">
        <is>
          <t>Jue 22 – vie 23 oct</t>
        </is>
      </c>
      <c r="D38" s="9" t="inlineStr">
        <is>
          <t>Sí</t>
        </is>
      </c>
      <c r="E38" s="9" t="inlineStr">
        <is>
          <t>2 · Empresas Oslo</t>
        </is>
      </c>
      <c r="F38" s="9" t="inlineStr">
        <is>
          <t>C</t>
        </is>
      </c>
      <c r="G38" s="9" t="inlineStr">
        <is>
          <t>Empresa</t>
        </is>
      </c>
      <c r="H38" s="9" t="inlineStr">
        <is>
          <t>Oslo</t>
        </is>
      </c>
      <c r="I38" s="10" t="inlineStr">
        <is>
          <t>Halogen</t>
        </is>
      </c>
      <c r="J38" s="9" t="inlineStr">
        <is>
          <t>hei@halogen.no</t>
        </is>
      </c>
      <c r="K38" s="9" t="n"/>
      <c r="L38" s="9" t="inlineStr">
        <is>
          <t>Genérico</t>
        </is>
      </c>
      <c r="M38" s="11" t="inlineStr">
        <is>
          <t>learn how you design digital services for the public sector</t>
        </is>
      </c>
      <c r="N38" s="11" t="inlineStr">
        <is>
          <t>Diseño e innovación (sector público)</t>
        </is>
      </c>
      <c r="O38" s="11" t="inlineStr">
        <is>
          <t>No declarado</t>
        </is>
      </c>
      <c r="P38" s="11" t="inlineStr">
        <is>
          <t>No confirmado</t>
        </is>
      </c>
      <c r="Q38" s="12" t="inlineStr">
        <is>
          <t>https://www.halogen.no/</t>
        </is>
      </c>
      <c r="R38" s="9" t="inlineStr">
        <is>
          <t>+47 934 90 400</t>
        </is>
      </c>
      <c r="S38" s="9" t="inlineStr">
        <is>
          <t>Nedre Slottsgate 13-15, 0157 Oslo</t>
        </is>
      </c>
      <c r="T38" s="12" t="inlineStr">
        <is>
          <t>https://www.halogen.no/</t>
        </is>
      </c>
      <c r="U38" s="11" t="inlineStr">
        <is>
          <t>Sin desarrollo web visible</t>
        </is>
      </c>
      <c r="V38" s="6" t="inlineStr">
        <is>
          <t>Pendiente</t>
        </is>
      </c>
      <c r="W38" s="7" t="n"/>
      <c r="X38" s="8" t="n"/>
      <c r="Y38" s="6" t="n"/>
    </row>
    <row r="39">
      <c r="A39" s="9" t="n">
        <v>38</v>
      </c>
      <c r="B39" s="9" t="inlineStr">
        <is>
          <t>Docente Oslo</t>
        </is>
      </c>
      <c r="C39" s="9" t="inlineStr">
        <is>
          <t>Jue 22 – vie 23 oct</t>
        </is>
      </c>
      <c r="D39" s="9" t="inlineStr">
        <is>
          <t>Sí</t>
        </is>
      </c>
      <c r="E39" s="9" t="inlineStr">
        <is>
          <t>2 · Empresas Oslo</t>
        </is>
      </c>
      <c r="F39" s="9" t="inlineStr">
        <is>
          <t>C</t>
        </is>
      </c>
      <c r="G39" s="9" t="inlineStr">
        <is>
          <t>Empresa</t>
        </is>
      </c>
      <c r="H39" s="9" t="inlineStr">
        <is>
          <t>Oslo</t>
        </is>
      </c>
      <c r="I39" s="10" t="inlineStr">
        <is>
          <t>Heydays</t>
        </is>
      </c>
      <c r="J39" s="9" t="inlineStr">
        <is>
          <t>studio@heydays.no</t>
        </is>
      </c>
      <c r="K39" s="9" t="n"/>
      <c r="L39" s="9" t="inlineStr">
        <is>
          <t>Genérico</t>
        </is>
      </c>
      <c r="M39" s="11" t="inlineStr">
        <is>
          <t>learn how you design brands and digital products</t>
        </is>
      </c>
      <c r="N39" s="11" t="inlineStr">
        <is>
          <t>Estudio de marca y producto digital</t>
        </is>
      </c>
      <c r="O39" s="11" t="inlineStr">
        <is>
          <t>No declarado</t>
        </is>
      </c>
      <c r="P39" s="11" t="inlineStr">
        <is>
          <t>No confirmado</t>
        </is>
      </c>
      <c r="Q39" s="12" t="inlineStr">
        <is>
          <t>https://heydays.no/</t>
        </is>
      </c>
      <c r="R39" s="9" t="inlineStr">
        <is>
          <t>+47 414 65 179</t>
        </is>
      </c>
      <c r="S39" s="9" t="inlineStr">
        <is>
          <t>Oslo (dirección no publicada)</t>
        </is>
      </c>
      <c r="T39" s="12" t="inlineStr">
        <is>
          <t>https://heydays.no/</t>
        </is>
      </c>
      <c r="U39" s="11" t="inlineStr">
        <is>
          <t>Ahora parte de Kurppa Hosk</t>
        </is>
      </c>
      <c r="V39" s="6" t="inlineStr">
        <is>
          <t>Pendiente</t>
        </is>
      </c>
      <c r="W39" s="7" t="n"/>
      <c r="X39" s="8" t="n"/>
      <c r="Y39" s="6" t="n"/>
    </row>
    <row r="40">
      <c r="A40" s="9" t="n">
        <v>39</v>
      </c>
      <c r="B40" s="9" t="inlineStr">
        <is>
          <t>Docente Oslo</t>
        </is>
      </c>
      <c r="C40" s="9" t="inlineStr">
        <is>
          <t>Jue 22 – vie 23 oct</t>
        </is>
      </c>
      <c r="D40" s="9" t="inlineStr">
        <is>
          <t>Sí</t>
        </is>
      </c>
      <c r="E40" s="9" t="inlineStr">
        <is>
          <t>2 · Empresas Oslo</t>
        </is>
      </c>
      <c r="F40" s="9" t="inlineStr">
        <is>
          <t>C</t>
        </is>
      </c>
      <c r="G40" s="9" t="inlineStr">
        <is>
          <t>Empresa</t>
        </is>
      </c>
      <c r="H40" s="9" t="inlineStr">
        <is>
          <t>Oslo</t>
        </is>
      </c>
      <c r="I40" s="10" t="inlineStr">
        <is>
          <t>Iterate</t>
        </is>
      </c>
      <c r="J40" s="9" t="inlineStr">
        <is>
          <t>mail@iterate.no</t>
        </is>
      </c>
      <c r="K40" s="9" t="n"/>
      <c r="L40" s="9" t="inlineStr">
        <is>
          <t>Genérico</t>
        </is>
      </c>
      <c r="M40" s="11" t="inlineStr">
        <is>
          <t>learn how you build products and work with developers</t>
        </is>
      </c>
      <c r="N40" s="11" t="inlineStr">
        <is>
          <t>Consultora de desarrollo</t>
        </is>
      </c>
      <c r="O40" s="11" t="inlineStr">
        <is>
          <t>No confirmado</t>
        </is>
      </c>
      <c r="P40" s="11" t="inlineStr">
        <is>
          <t>No confirmado</t>
        </is>
      </c>
      <c r="Q40" s="12" t="inlineStr">
        <is>
          <t>https://www.iterate.no/</t>
        </is>
      </c>
      <c r="R40" s="9" t="inlineStr">
        <is>
          <t>+47 995 86 317</t>
        </is>
      </c>
      <c r="S40" s="9" t="inlineStr">
        <is>
          <t>Schweigaards gate 34E, 0191 Oslo</t>
        </is>
      </c>
      <c r="T40" s="12" t="inlineStr">
        <is>
          <t>https://www.iterate.no/</t>
        </is>
      </c>
      <c r="U40" s="11" t="n"/>
      <c r="V40" s="6" t="inlineStr">
        <is>
          <t>Pendiente</t>
        </is>
      </c>
      <c r="W40" s="7" t="n"/>
      <c r="X40" s="8" t="n"/>
      <c r="Y40" s="6" t="n"/>
    </row>
    <row r="41">
      <c r="A41" s="9" t="n">
        <v>40</v>
      </c>
      <c r="B41" s="9" t="inlineStr">
        <is>
          <t>Docente Oslo</t>
        </is>
      </c>
      <c r="C41" s="9" t="inlineStr">
        <is>
          <t>Jue 22 – vie 23 oct</t>
        </is>
      </c>
      <c r="D41" s="9" t="inlineStr">
        <is>
          <t>Sí</t>
        </is>
      </c>
      <c r="E41" s="9" t="inlineStr">
        <is>
          <t>2 · Empresas Oslo</t>
        </is>
      </c>
      <c r="F41" s="9" t="inlineStr">
        <is>
          <t>C</t>
        </is>
      </c>
      <c r="G41" s="9" t="inlineStr">
        <is>
          <t>Empresa</t>
        </is>
      </c>
      <c r="H41" s="9" t="inlineStr">
        <is>
          <t>Oslo</t>
        </is>
      </c>
      <c r="I41" s="10" t="inlineStr">
        <is>
          <t>Knowit</t>
        </is>
      </c>
      <c r="J41" s="9" t="inlineStr">
        <is>
          <t>post@knowit.no</t>
        </is>
      </c>
      <c r="K41" s="9" t="n"/>
      <c r="L41" s="9" t="inlineStr">
        <is>
          <t>Genérico</t>
        </is>
      </c>
      <c r="M41" s="11" t="inlineStr">
        <is>
          <t>learn how your development teams work</t>
        </is>
      </c>
      <c r="N41" s="11" t="inlineStr">
        <is>
          <t>Consultora IT</t>
        </is>
      </c>
      <c r="O41" s="11" t="inlineStr">
        <is>
          <t>No confirmado</t>
        </is>
      </c>
      <c r="P41" s="11" t="inlineStr">
        <is>
          <t>No confirmado (Knowit Academy sin detalle)</t>
        </is>
      </c>
      <c r="Q41" s="12" t="inlineStr">
        <is>
          <t>https://www.knowit.no/</t>
        </is>
      </c>
      <c r="R41" s="9" t="inlineStr">
        <is>
          <t>+47 22 92 66 66</t>
        </is>
      </c>
      <c r="S41" s="9" t="inlineStr">
        <is>
          <t>Universitetsgata 1, 0164 Oslo</t>
        </is>
      </c>
      <c r="T41" s="12" t="inlineStr">
        <is>
          <t>https://www.knowit.no/kontakt/</t>
        </is>
      </c>
      <c r="U41" s="11" t="n"/>
      <c r="V41" s="6" t="inlineStr">
        <is>
          <t>Pendiente</t>
        </is>
      </c>
      <c r="W41" s="7" t="n"/>
      <c r="X41" s="8" t="n"/>
      <c r="Y41" s="6" t="n"/>
    </row>
    <row r="42">
      <c r="A42" s="9" t="n">
        <v>41</v>
      </c>
      <c r="B42" s="9" t="inlineStr">
        <is>
          <t>Docente Oslo</t>
        </is>
      </c>
      <c r="C42" s="9" t="inlineStr">
        <is>
          <t>Jue 22 – vie 23 oct</t>
        </is>
      </c>
      <c r="D42" s="9" t="inlineStr">
        <is>
          <t>Sí</t>
        </is>
      </c>
      <c r="E42" s="9" t="inlineStr">
        <is>
          <t>2 · Empresas Oslo</t>
        </is>
      </c>
      <c r="F42" s="9" t="inlineStr">
        <is>
          <t>C</t>
        </is>
      </c>
      <c r="G42" s="9" t="inlineStr">
        <is>
          <t>Empresa</t>
        </is>
      </c>
      <c r="H42" s="9" t="inlineStr">
        <is>
          <t>Oslo</t>
        </is>
      </c>
      <c r="I42" s="10" t="inlineStr">
        <is>
          <t>Kodeworks</t>
        </is>
      </c>
      <c r="J42" s="9" t="inlineStr">
        <is>
          <t>post@kodeworks.no</t>
        </is>
      </c>
      <c r="K42" s="9" t="n"/>
      <c r="L42" s="9" t="inlineStr">
        <is>
          <t>Genérico</t>
        </is>
      </c>
      <c r="M42" s="11" t="inlineStr">
        <is>
          <t>learn how your developers work with clients</t>
        </is>
      </c>
      <c r="N42" s="11" t="inlineStr">
        <is>
          <t>Consultora de desarrollo</t>
        </is>
      </c>
      <c r="O42" s="11" t="inlineStr">
        <is>
          <t>No confirmado</t>
        </is>
      </c>
      <c r="P42" s="11" t="inlineStr">
        <is>
          <t>No confirmado</t>
        </is>
      </c>
      <c r="Q42" s="12" t="inlineStr">
        <is>
          <t>https://www.kodeworks.no/</t>
        </is>
      </c>
      <c r="R42" s="9" t="inlineStr">
        <is>
          <t>+47 416 70 269</t>
        </is>
      </c>
      <c r="S42" s="9" t="inlineStr">
        <is>
          <t>Grønnegata 10, 0350 Oslo</t>
        </is>
      </c>
      <c r="T42" s="12" t="inlineStr">
        <is>
          <t>https://www.kodeworks.no/</t>
        </is>
      </c>
      <c r="U42" s="11" t="n"/>
      <c r="V42" s="6" t="inlineStr">
        <is>
          <t>Pendiente</t>
        </is>
      </c>
      <c r="W42" s="7" t="n"/>
      <c r="X42" s="8" t="n"/>
      <c r="Y42" s="6" t="n"/>
    </row>
    <row r="43">
      <c r="A43" s="9" t="n">
        <v>42</v>
      </c>
      <c r="B43" s="9" t="inlineStr">
        <is>
          <t>Docente Oslo</t>
        </is>
      </c>
      <c r="C43" s="9" t="inlineStr">
        <is>
          <t>Jue 22 – vie 23 oct</t>
        </is>
      </c>
      <c r="D43" s="9" t="inlineStr">
        <is>
          <t>Sí</t>
        </is>
      </c>
      <c r="E43" s="9" t="inlineStr">
        <is>
          <t>2 · Empresas Oslo</t>
        </is>
      </c>
      <c r="F43" s="9" t="inlineStr">
        <is>
          <t>C</t>
        </is>
      </c>
      <c r="G43" s="9" t="inlineStr">
        <is>
          <t>Empresa</t>
        </is>
      </c>
      <c r="H43" s="9" t="inlineStr">
        <is>
          <t>Oslo</t>
        </is>
      </c>
      <c r="I43" s="10" t="inlineStr">
        <is>
          <t>M51 Marketing</t>
        </is>
      </c>
      <c r="J43" s="9" t="inlineStr">
        <is>
          <t>kontakt@m51.no</t>
        </is>
      </c>
      <c r="K43" s="9" t="n"/>
      <c r="L43" s="9" t="inlineStr">
        <is>
          <t>Genérico</t>
        </is>
      </c>
      <c r="M43" s="11" t="inlineStr">
        <is>
          <t>see how you build websites and online shops with WordPress, Shopify and Sanity</t>
        </is>
      </c>
      <c r="N43" s="11" t="inlineStr">
        <is>
          <t>Marketing; web y comercio electrónico</t>
        </is>
      </c>
      <c r="O43" s="11" t="inlineStr">
        <is>
          <t>WordPress, Shopify, Sanity, Webflow</t>
        </is>
      </c>
      <c r="P43" s="11" t="inlineStr">
        <is>
          <t>No confirmado</t>
        </is>
      </c>
      <c r="Q43" s="12" t="inlineStr">
        <is>
          <t>https://www.m51.no/</t>
        </is>
      </c>
      <c r="R43" s="9" t="inlineStr">
        <is>
          <t>+47 236 53 003</t>
        </is>
      </c>
      <c r="S43" s="9" t="inlineStr">
        <is>
          <t>Oscars gate 32, 0258 Oslo</t>
        </is>
      </c>
      <c r="T43" s="12" t="inlineStr">
        <is>
          <t>https://www.m51.no/kontakt</t>
        </is>
      </c>
      <c r="U43" s="11" t="n"/>
      <c r="V43" s="6" t="inlineStr">
        <is>
          <t>Pendiente</t>
        </is>
      </c>
      <c r="W43" s="7" t="n"/>
      <c r="X43" s="8" t="n"/>
      <c r="Y43" s="6" t="n"/>
    </row>
    <row r="44">
      <c r="A44" s="9" t="n">
        <v>43</v>
      </c>
      <c r="B44" s="9" t="inlineStr">
        <is>
          <t>Docente Oslo</t>
        </is>
      </c>
      <c r="C44" s="9" t="inlineStr">
        <is>
          <t>Jue 22 – vie 23 oct</t>
        </is>
      </c>
      <c r="D44" s="9" t="inlineStr">
        <is>
          <t>Sí</t>
        </is>
      </c>
      <c r="E44" s="9" t="inlineStr">
        <is>
          <t>2 · Empresas Oslo</t>
        </is>
      </c>
      <c r="F44" s="9" t="inlineStr">
        <is>
          <t>C</t>
        </is>
      </c>
      <c r="G44" s="9" t="inlineStr">
        <is>
          <t>Empresa</t>
        </is>
      </c>
      <c r="H44" s="9" t="inlineStr">
        <is>
          <t>Oslo</t>
        </is>
      </c>
      <c r="I44" s="10" t="inlineStr">
        <is>
          <t>Miles</t>
        </is>
      </c>
      <c r="J44" s="9" t="inlineStr">
        <is>
          <t>marius.torgersen@miles.no</t>
        </is>
      </c>
      <c r="K44" s="9" t="n"/>
      <c r="L44" s="9" t="inlineStr">
        <is>
          <t>Persona (contacto publicado de la oficina de Oslo)</t>
        </is>
      </c>
      <c r="M44" s="11" t="inlineStr">
        <is>
          <t>learn how your Oslo consultants work</t>
        </is>
      </c>
      <c r="N44" s="11" t="inlineStr">
        <is>
          <t>Consultora IT</t>
        </is>
      </c>
      <c r="O44" s="11" t="inlineStr">
        <is>
          <t>No confirmado</t>
        </is>
      </c>
      <c r="P44" s="11" t="inlineStr">
        <is>
          <t>No confirmado</t>
        </is>
      </c>
      <c r="Q44" s="12" t="inlineStr">
        <is>
          <t>https://www.miles.no/</t>
        </is>
      </c>
      <c r="R44" s="9" t="inlineStr">
        <is>
          <t>417 34 081</t>
        </is>
      </c>
      <c r="S44" s="9" t="inlineStr">
        <is>
          <t>Bislettgata 4, 0170 Oslo</t>
        </is>
      </c>
      <c r="T44" s="12" t="inlineStr">
        <is>
          <t>https://www.miles.no/kontakt-oss</t>
        </is>
      </c>
      <c r="U44" s="11" t="inlineStr">
        <is>
          <t>Sin buzón genérico: responsable interino de la oficina de Oslo</t>
        </is>
      </c>
      <c r="V44" s="6" t="inlineStr">
        <is>
          <t>Pendiente</t>
        </is>
      </c>
      <c r="W44" s="7" t="n"/>
      <c r="X44" s="8" t="n"/>
      <c r="Y44" s="6" t="n"/>
    </row>
    <row r="45">
      <c r="A45" s="9" t="n">
        <v>44</v>
      </c>
      <c r="B45" s="9" t="inlineStr">
        <is>
          <t>Docente Oslo</t>
        </is>
      </c>
      <c r="C45" s="9" t="inlineStr">
        <is>
          <t>Jue 22 – vie 23 oct</t>
        </is>
      </c>
      <c r="D45" s="9" t="inlineStr">
        <is>
          <t>Sí</t>
        </is>
      </c>
      <c r="E45" s="9" t="inlineStr">
        <is>
          <t>2 · Empresas Oslo</t>
        </is>
      </c>
      <c r="F45" s="9" t="inlineStr">
        <is>
          <t>C</t>
        </is>
      </c>
      <c r="G45" s="9" t="inlineStr">
        <is>
          <t>Empresa</t>
        </is>
      </c>
      <c r="H45" s="9" t="inlineStr">
        <is>
          <t>Oslo</t>
        </is>
      </c>
      <c r="I45" s="10" t="inlineStr">
        <is>
          <t>Sopra Steria Norge</t>
        </is>
      </c>
      <c r="J45" s="9" t="inlineStr">
        <is>
          <t>firmapost.no@soprasteria.com</t>
        </is>
      </c>
      <c r="K45" s="9" t="n"/>
      <c r="L45" s="9" t="inlineStr">
        <is>
          <t>Genérico (corporativo)</t>
        </is>
      </c>
      <c r="M45" s="11" t="inlineStr">
        <is>
          <t>learn how your graduates and developers start and grow in the company</t>
        </is>
      </c>
      <c r="N45" s="11" t="inlineStr">
        <is>
          <t>Consultora IT</t>
        </is>
      </c>
      <c r="O45" s="11" t="inlineStr">
        <is>
          <t>No confirmado</t>
        </is>
      </c>
      <c r="P45" s="11" t="inlineStr">
        <is>
          <t>267 recién titulados contratados (ago. 2026)</t>
        </is>
      </c>
      <c r="Q45" s="12" t="inlineStr">
        <is>
          <t>https://www.soprasteria.no/</t>
        </is>
      </c>
      <c r="R45" s="9" t="inlineStr">
        <is>
          <t>22 57 56 00</t>
        </is>
      </c>
      <c r="S45" s="9" t="inlineStr">
        <is>
          <t>Biskop Gunnerus' gate 14A, 0185 Oslo</t>
        </is>
      </c>
      <c r="T45" s="12" t="inlineStr">
        <is>
          <t>https://www.soprasteria.no/kontakt-oss</t>
        </is>
      </c>
      <c r="U45" s="11" t="n"/>
      <c r="V45" s="6" t="inlineStr">
        <is>
          <t>Pendiente</t>
        </is>
      </c>
      <c r="W45" s="7" t="n"/>
      <c r="X45" s="8" t="n"/>
      <c r="Y45" s="6" t="n"/>
    </row>
    <row r="46">
      <c r="A46" s="9" t="n">
        <v>45</v>
      </c>
      <c r="B46" s="9" t="inlineStr">
        <is>
          <t>Docente Oslo</t>
        </is>
      </c>
      <c r="C46" s="9" t="inlineStr">
        <is>
          <t>Jue 22 – vie 23 oct</t>
        </is>
      </c>
      <c r="D46" s="9" t="inlineStr">
        <is>
          <t>Sí</t>
        </is>
      </c>
      <c r="E46" s="9" t="inlineStr">
        <is>
          <t>2 · Empresas Oslo</t>
        </is>
      </c>
      <c r="F46" s="9" t="inlineStr">
        <is>
          <t>C</t>
        </is>
      </c>
      <c r="G46" s="9" t="inlineStr">
        <is>
          <t>Empresa</t>
        </is>
      </c>
      <c r="H46" s="9" t="inlineStr">
        <is>
          <t>Oslo</t>
        </is>
      </c>
      <c r="I46" s="10" t="inlineStr">
        <is>
          <t>Variant</t>
        </is>
      </c>
      <c r="J46" s="9" t="inlineStr">
        <is>
          <t>post@variant.no</t>
        </is>
      </c>
      <c r="K46" s="9" t="n"/>
      <c r="L46" s="9" t="inlineStr">
        <is>
          <t>Genérico</t>
        </is>
      </c>
      <c r="M46" s="11" t="inlineStr">
        <is>
          <t>learn how your consultants work day to day</t>
        </is>
      </c>
      <c r="N46" s="11" t="inlineStr">
        <is>
          <t>Consultora digital</t>
        </is>
      </c>
      <c r="O46" s="11" t="inlineStr">
        <is>
          <t>No confirmado</t>
        </is>
      </c>
      <c r="P46" s="11" t="inlineStr">
        <is>
          <t>No confirmado</t>
        </is>
      </c>
      <c r="Q46" s="12" t="inlineStr">
        <is>
          <t>https://www.variant.no/</t>
        </is>
      </c>
      <c r="R46" s="9" t="inlineStr">
        <is>
          <t>41 00 00 14</t>
        </is>
      </c>
      <c r="S46" s="9" t="inlineStr">
        <is>
          <t>Oslo (dirección no publicada)</t>
        </is>
      </c>
      <c r="T46" s="12" t="inlineStr">
        <is>
          <t>https://www.variant.no/</t>
        </is>
      </c>
      <c r="U46" s="11" t="n"/>
      <c r="V46" s="6" t="inlineStr">
        <is>
          <t>Pendiente</t>
        </is>
      </c>
      <c r="W46" s="7" t="n"/>
      <c r="X46" s="8" t="n"/>
      <c r="Y46" s="6" t="n"/>
    </row>
    <row r="47">
      <c r="A47" s="9" t="n">
        <v>46</v>
      </c>
      <c r="B47" s="9" t="inlineStr">
        <is>
          <t>Docente Oslo</t>
        </is>
      </c>
      <c r="C47" s="9" t="inlineStr">
        <is>
          <t>Jue 22 – vie 23 oct</t>
        </is>
      </c>
      <c r="D47" s="9" t="inlineStr">
        <is>
          <t>Sí</t>
        </is>
      </c>
      <c r="E47" s="9" t="inlineStr">
        <is>
          <t>2 · Empresas Oslo</t>
        </is>
      </c>
      <c r="F47" s="9" t="inlineStr">
        <is>
          <t>C</t>
        </is>
      </c>
      <c r="G47" s="9" t="inlineStr">
        <is>
          <t>Empresa</t>
        </is>
      </c>
      <c r="H47" s="9" t="inlineStr">
        <is>
          <t>Oslo</t>
        </is>
      </c>
      <c r="I47" s="10" t="inlineStr">
        <is>
          <t>Yttr AS (antes Shortcut)</t>
        </is>
      </c>
      <c r="J47" s="9" t="inlineStr">
        <is>
          <t>sales@yttr.ai</t>
        </is>
      </c>
      <c r="K47" s="9" t="n"/>
      <c r="L47" s="9" t="inlineStr">
        <is>
          <t>Función (ventas)</t>
        </is>
      </c>
      <c r="M47" s="11" t="inlineStr">
        <is>
          <t>learn how you build mobile apps and their backends</t>
        </is>
      </c>
      <c r="N47" s="11" t="inlineStr">
        <is>
          <t>Apps iOS/Android y backend</t>
        </is>
      </c>
      <c r="O47" s="11" t="inlineStr">
        <is>
          <t>No declarado</t>
        </is>
      </c>
      <c r="P47" s="11" t="inlineStr">
        <is>
          <t>No confirmado</t>
        </is>
      </c>
      <c r="Q47" s="12" t="inlineStr">
        <is>
          <t>https://www.yttr.ai/</t>
        </is>
      </c>
      <c r="R47" s="9" t="inlineStr">
        <is>
          <t>—</t>
        </is>
      </c>
      <c r="S47" s="9" t="inlineStr">
        <is>
          <t>Tullins gate 4C, 0166 Oslo</t>
        </is>
      </c>
      <c r="T47" s="12" t="inlineStr">
        <is>
          <t>https://www.yttr.ai/</t>
        </is>
      </c>
      <c r="U47" s="11" t="inlineStr">
        <is>
          <t>Apps, no web</t>
        </is>
      </c>
      <c r="V47" s="6" t="inlineStr">
        <is>
          <t>Pendiente</t>
        </is>
      </c>
      <c r="W47" s="7" t="n"/>
      <c r="X47" s="8" t="n"/>
      <c r="Y47" s="6" t="n"/>
    </row>
    <row r="48">
      <c r="A48" s="9" t="n">
        <v>47</v>
      </c>
      <c r="B48" s="9" t="inlineStr">
        <is>
          <t>Docente Oslo</t>
        </is>
      </c>
      <c r="C48" s="9" t="inlineStr">
        <is>
          <t>Jue 22 – vie 23 oct</t>
        </is>
      </c>
      <c r="D48" s="9" t="inlineStr">
        <is>
          <t>Sí</t>
        </is>
      </c>
      <c r="E48" s="9" t="inlineStr">
        <is>
          <t>B · Organismos Oslo</t>
        </is>
      </c>
      <c r="F48" s="9" t="inlineStr">
        <is>
          <t>A</t>
        </is>
      </c>
      <c r="G48" s="9" t="inlineStr">
        <is>
          <t>Organismo</t>
        </is>
      </c>
      <c r="H48" s="9" t="inlineStr">
        <is>
          <t>Oslo</t>
        </is>
      </c>
      <c r="I48" s="10" t="inlineStr">
        <is>
          <t>AOF Opplæringskontor</t>
        </is>
      </c>
      <c r="J48" s="9" t="inlineStr">
        <is>
          <t>aofok@aofok.no</t>
        </is>
      </c>
      <c r="K48" s="9" t="n"/>
      <c r="L48" s="9" t="inlineStr">
        <is>
          <t>Genérico</t>
        </is>
      </c>
      <c r="M48" s="11" t="inlineStr">
        <is>
          <t>learn how a training office organises IT apprenticeships and which companies host IT apprentices</t>
        </is>
      </c>
      <c r="N48" s="11" t="inlineStr">
        <is>
          <t>Oficina de formación de aprendices</t>
        </is>
      </c>
      <c r="O48" s="11" t="inlineStr">
        <is>
          <t>Incluye IT-utvikler en su oferta (confirmar)</t>
        </is>
      </c>
      <c r="P48" s="11" t="inlineStr">
        <is>
          <t>Sí (coordina aprendices)</t>
        </is>
      </c>
      <c r="Q48" s="12" t="inlineStr">
        <is>
          <t>https://www.aofok.no/</t>
        </is>
      </c>
      <c r="R48" s="9" t="inlineStr">
        <is>
          <t>920 47 693</t>
        </is>
      </c>
      <c r="S48" s="9" t="inlineStr">
        <is>
          <t>Munkedamsveien 67, 0270 Oslo</t>
        </is>
      </c>
      <c r="T48" s="12" t="inlineStr">
        <is>
          <t>https://www.aofok.no/kontakt-oss</t>
        </is>
      </c>
      <c r="U48" s="11" t="inlineStr">
        <is>
          <t>La web muestra aofok@aofok.no pero el enlace apunta a aofok@aof.no: si rebota, usar este</t>
        </is>
      </c>
      <c r="V48" s="6" t="inlineStr">
        <is>
          <t>Pendiente</t>
        </is>
      </c>
      <c r="W48" s="7" t="n"/>
      <c r="X48" s="8" t="n"/>
      <c r="Y48" s="6" t="n"/>
    </row>
    <row r="49">
      <c r="A49" s="9" t="n">
        <v>48</v>
      </c>
      <c r="B49" s="9" t="inlineStr">
        <is>
          <t>Docente Oslo</t>
        </is>
      </c>
      <c r="C49" s="9" t="inlineStr">
        <is>
          <t>Jue 22 – vie 23 oct</t>
        </is>
      </c>
      <c r="D49" s="9" t="inlineStr">
        <is>
          <t>Sí</t>
        </is>
      </c>
      <c r="E49" s="9" t="inlineStr">
        <is>
          <t>B · Organismos Oslo</t>
        </is>
      </c>
      <c r="F49" s="9" t="inlineStr">
        <is>
          <t>A</t>
        </is>
      </c>
      <c r="G49" s="9" t="inlineStr">
        <is>
          <t>Organismo</t>
        </is>
      </c>
      <c r="H49" s="9" t="inlineStr">
        <is>
          <t>Oslo</t>
        </is>
      </c>
      <c r="I49" s="10" t="inlineStr">
        <is>
          <t>Oslo Innovation Week</t>
        </is>
      </c>
      <c r="J49" s="9" t="inlineStr">
        <is>
          <t>hey@oiw.no</t>
        </is>
      </c>
      <c r="K49" s="9" t="n"/>
      <c r="L49" s="9" t="inlineStr">
        <is>
          <t>Genérico</t>
        </is>
      </c>
      <c r="M49" s="11" t="inlineStr">
        <is>
          <t>tell us which Oslo Innovation Week events (19–22 October) are open to international visitors and could connect us with tech companies</t>
        </is>
      </c>
      <c r="N49" s="11" t="inlineStr">
        <is>
          <t>Semana de la innovación de Oslo: eventos en toda la ciudad</t>
        </is>
      </c>
      <c r="O49" s="11" t="inlineStr">
        <is>
          <t>Contacto con empresas tecnológicas</t>
        </is>
      </c>
      <c r="P49" s="11" t="inlineStr">
        <is>
          <t>—</t>
        </is>
      </c>
      <c r="Q49" s="12" t="inlineStr">
        <is>
          <t>https://oiw.no/</t>
        </is>
      </c>
      <c r="R49" s="9" t="inlineStr">
        <is>
          <t>—</t>
        </is>
      </c>
      <c r="S49" s="9" t="inlineStr">
        <is>
          <t>Rådhusgata 23, 0158 Oslo</t>
        </is>
      </c>
      <c r="T49" s="12" t="inlineStr">
        <is>
          <t>https://oiw.no/faq</t>
        </is>
      </c>
      <c r="U49" s="11" t="inlineStr">
        <is>
          <t>Coincide con vuestra semana (19–22 o 23 oct, según la página)</t>
        </is>
      </c>
      <c r="V49" s="6" t="inlineStr">
        <is>
          <t>Pendiente</t>
        </is>
      </c>
      <c r="W49" s="7" t="n"/>
      <c r="X49" s="8" t="n"/>
      <c r="Y49" s="6" t="n"/>
    </row>
    <row r="50">
      <c r="A50" s="9" t="n">
        <v>49</v>
      </c>
      <c r="B50" s="9" t="inlineStr">
        <is>
          <t>Docente Oslo</t>
        </is>
      </c>
      <c r="C50" s="9" t="inlineStr">
        <is>
          <t>Jue 22 – vie 23 oct</t>
        </is>
      </c>
      <c r="D50" s="9" t="inlineStr">
        <is>
          <t>Sí</t>
        </is>
      </c>
      <c r="E50" s="9" t="inlineStr">
        <is>
          <t>B · Organismos Oslo</t>
        </is>
      </c>
      <c r="F50" s="9" t="inlineStr">
        <is>
          <t>B</t>
        </is>
      </c>
      <c r="G50" s="9" t="inlineStr">
        <is>
          <t>Organismo</t>
        </is>
      </c>
      <c r="H50" s="9" t="inlineStr">
        <is>
          <t>Oslo</t>
        </is>
      </c>
      <c r="I50" s="10" t="inlineStr">
        <is>
          <t>Abelia (NHO)</t>
        </is>
      </c>
      <c r="J50" s="9" t="inlineStr">
        <is>
          <t>post@abelia.no</t>
        </is>
      </c>
      <c r="K50" s="9" t="n"/>
      <c r="L50" s="9" t="inlineStr">
        <is>
          <t>Genérico</t>
        </is>
      </c>
      <c r="M50" s="11" t="inlineStr">
        <is>
          <t>share our request with member technology companies interested in international students</t>
        </is>
      </c>
      <c r="N50" s="11" t="inlineStr">
        <is>
          <t>Asociación de empresas de tecnología y conocimiento</t>
        </is>
      </c>
      <c r="O50" s="11" t="inlineStr">
        <is>
          <t>Red de empresas IT</t>
        </is>
      </c>
      <c r="P50" s="11" t="inlineStr">
        <is>
          <t>—</t>
        </is>
      </c>
      <c r="Q50" s="12" t="inlineStr">
        <is>
          <t>https://www.abelia.no/</t>
        </is>
      </c>
      <c r="R50" s="9" t="inlineStr">
        <is>
          <t>—</t>
        </is>
      </c>
      <c r="S50" s="9" t="inlineStr">
        <is>
          <t>Middelthuns gate 27, 0368 Oslo</t>
        </is>
      </c>
      <c r="T50" s="12" t="inlineStr">
        <is>
          <t>https://www.abelia.no/kontakt-oss/</t>
        </is>
      </c>
      <c r="U50" s="11" t="n"/>
      <c r="V50" s="6" t="inlineStr">
        <is>
          <t>Pendiente</t>
        </is>
      </c>
      <c r="W50" s="7" t="n"/>
      <c r="X50" s="8" t="n"/>
      <c r="Y50" s="6" t="n"/>
    </row>
    <row r="51">
      <c r="A51" s="9" t="n">
        <v>50</v>
      </c>
      <c r="B51" s="9" t="inlineStr">
        <is>
          <t>Docente Oslo</t>
        </is>
      </c>
      <c r="C51" s="9" t="inlineStr">
        <is>
          <t>Jue 22 – vie 23 oct</t>
        </is>
      </c>
      <c r="D51" s="9" t="inlineStr">
        <is>
          <t>Sí</t>
        </is>
      </c>
      <c r="E51" s="9" t="inlineStr">
        <is>
          <t>B · Organismos Oslo</t>
        </is>
      </c>
      <c r="F51" s="9" t="inlineStr">
        <is>
          <t>B</t>
        </is>
      </c>
      <c r="G51" s="9" t="inlineStr">
        <is>
          <t>Organismo</t>
        </is>
      </c>
      <c r="H51" s="9" t="inlineStr">
        <is>
          <t>Oslo</t>
        </is>
      </c>
      <c r="I51" s="10" t="inlineStr">
        <is>
          <t>Hellerud vgs (instituto de FP)</t>
        </is>
      </c>
      <c r="J51" s="9" t="inlineStr">
        <is>
          <t>postmottak.hellerud.vgs@osloskolen.no</t>
        </is>
      </c>
      <c r="K51" s="9" t="n"/>
      <c r="L51" s="9" t="inlineStr">
        <is>
          <t>Genérico</t>
        </is>
      </c>
      <c r="M51" s="11" t="inlineStr">
        <is>
          <t>compare how an Oslo upper secondary school teaches IT vocational programmes</t>
        </is>
      </c>
      <c r="N51" s="11" t="inlineStr">
        <is>
          <t>Instituto de FP de Oslo</t>
        </is>
      </c>
      <c r="O51" s="11" t="inlineStr">
        <is>
          <t>IKT-servicefag (según karrierestart.no)</t>
        </is>
      </c>
      <c r="P51" s="11" t="inlineStr">
        <is>
          <t>—</t>
        </is>
      </c>
      <c r="Q51" s="12" t="inlineStr">
        <is>
          <t>https://hellerud.vgs.no/</t>
        </is>
      </c>
      <c r="R51" s="9" t="inlineStr">
        <is>
          <t>22 76 05 00</t>
        </is>
      </c>
      <c r="S51" s="9" t="inlineStr">
        <is>
          <t>Wilh. Stenersens vei 6, 0671 Oslo</t>
        </is>
      </c>
      <c r="T51" s="12" t="inlineStr">
        <is>
          <t>https://hellerud.vgs.no/</t>
        </is>
      </c>
      <c r="U51" s="11" t="inlineStr">
        <is>
          <t>Opcional: ya estáis en un instituto</t>
        </is>
      </c>
      <c r="V51" s="6" t="inlineStr">
        <is>
          <t>Pendiente</t>
        </is>
      </c>
      <c r="W51" s="7" t="n"/>
      <c r="X51" s="8" t="n"/>
      <c r="Y51" s="6" t="n"/>
    </row>
    <row r="52">
      <c r="A52" s="9" t="n">
        <v>51</v>
      </c>
      <c r="B52" s="9" t="inlineStr">
        <is>
          <t>Docente Oslo</t>
        </is>
      </c>
      <c r="C52" s="9" t="inlineStr">
        <is>
          <t>Jue 22 – vie 23 oct</t>
        </is>
      </c>
      <c r="D52" s="9" t="inlineStr">
        <is>
          <t>Sí</t>
        </is>
      </c>
      <c r="E52" s="9" t="inlineStr">
        <is>
          <t>B · Organismos Oslo</t>
        </is>
      </c>
      <c r="F52" s="9" t="inlineStr">
        <is>
          <t>B</t>
        </is>
      </c>
      <c r="G52" s="9" t="inlineStr">
        <is>
          <t>Organismo</t>
        </is>
      </c>
      <c r="H52" s="9" t="inlineStr">
        <is>
          <t>Oslo</t>
        </is>
      </c>
      <c r="I52" s="10" t="inlineStr">
        <is>
          <t>Oslo Science Park (Forskningsparken)</t>
        </is>
      </c>
      <c r="J52" s="9" t="inlineStr">
        <is>
          <t>post@forskningsparken.no</t>
        </is>
      </c>
      <c r="K52" s="9" t="n"/>
      <c r="L52" s="9" t="inlineStr">
        <is>
          <t>Genérico</t>
        </is>
      </c>
      <c r="M52" s="11" t="inlineStr">
        <is>
          <t>put us in touch with technology companies and startups at the park that might welcome a short visit</t>
        </is>
      </c>
      <c r="N52" s="11" t="inlineStr">
        <is>
          <t>Parque científico y tecnológico</t>
        </is>
      </c>
      <c r="O52" s="11" t="inlineStr">
        <is>
          <t>Empresas y startups tecnológicas</t>
        </is>
      </c>
      <c r="P52" s="11" t="inlineStr">
        <is>
          <t>—</t>
        </is>
      </c>
      <c r="Q52" s="12" t="inlineStr">
        <is>
          <t>https://forskningsparken.no/</t>
        </is>
      </c>
      <c r="R52" s="9" t="inlineStr">
        <is>
          <t>+47 22 95 85 00</t>
        </is>
      </c>
      <c r="S52" s="9" t="inlineStr">
        <is>
          <t>Gaustadalléen 21, 0349 Oslo</t>
        </is>
      </c>
      <c r="T52" s="12" t="inlineStr">
        <is>
          <t>https://forskningsparken.no/en/about/kontakt</t>
        </is>
      </c>
      <c r="U52" s="11" t="n"/>
      <c r="V52" s="6" t="inlineStr">
        <is>
          <t>Pendiente</t>
        </is>
      </c>
      <c r="W52" s="7" t="n"/>
      <c r="X52" s="8" t="n"/>
      <c r="Y52" s="6" t="n"/>
    </row>
    <row r="53">
      <c r="A53" s="9" t="n">
        <v>52</v>
      </c>
      <c r="B53" s="9" t="inlineStr">
        <is>
          <t>Docente Oslo</t>
        </is>
      </c>
      <c r="C53" s="9" t="inlineStr">
        <is>
          <t>Jue 22 – vie 23 oct</t>
        </is>
      </c>
      <c r="D53" s="9" t="inlineStr">
        <is>
          <t>Sí</t>
        </is>
      </c>
      <c r="E53" s="9" t="inlineStr">
        <is>
          <t>B · Organismos Oslo</t>
        </is>
      </c>
      <c r="F53" s="9" t="inlineStr">
        <is>
          <t>C</t>
        </is>
      </c>
      <c r="G53" s="9" t="inlineStr">
        <is>
          <t>Organismo</t>
        </is>
      </c>
      <c r="H53" s="9" t="inlineStr">
        <is>
          <t>Oslo</t>
        </is>
      </c>
      <c r="I53" s="10" t="inlineStr">
        <is>
          <t>Oslo&amp;Co (antes Oslo Business Region)</t>
        </is>
      </c>
      <c r="J53" s="9" t="inlineStr">
        <is>
          <t>digital@osloandco.no</t>
        </is>
      </c>
      <c r="K53" s="9" t="n"/>
      <c r="L53" s="9" t="inlineStr">
        <is>
          <t>Genérico</t>
        </is>
      </c>
      <c r="M53" s="11" t="inlineStr">
        <is>
          <t>point us to Oslo technology companies open to international students</t>
        </is>
      </c>
      <c r="N53" s="11" t="inlineStr">
        <is>
          <t>Promoción económica de Oslo</t>
        </is>
      </c>
      <c r="O53" s="11" t="inlineStr">
        <is>
          <t>—</t>
        </is>
      </c>
      <c r="P53" s="11" t="inlineStr">
        <is>
          <t>—</t>
        </is>
      </c>
      <c r="Q53" s="12" t="inlineStr">
        <is>
          <t>https://www.osloandco.no/</t>
        </is>
      </c>
      <c r="R53" s="9" t="inlineStr">
        <is>
          <t>—</t>
        </is>
      </c>
      <c r="S53" s="9" t="inlineStr">
        <is>
          <t>Rådhusgata 23, 0158 Oslo</t>
        </is>
      </c>
      <c r="T53" s="12" t="inlineStr">
        <is>
          <t>https://www.osloandco.no/</t>
        </is>
      </c>
      <c r="U53" s="11" t="n"/>
      <c r="V53" s="6" t="inlineStr">
        <is>
          <t>Pendiente</t>
        </is>
      </c>
      <c r="W53" s="7" t="n"/>
      <c r="X53" s="8" t="n"/>
      <c r="Y53" s="6" t="n"/>
    </row>
    <row r="54">
      <c r="A54" s="9" t="n">
        <v>53</v>
      </c>
      <c r="B54" s="9" t="inlineStr">
        <is>
          <t>Docente Oslo</t>
        </is>
      </c>
      <c r="C54" s="9" t="inlineStr">
        <is>
          <t>Jue 22 – vie 23 oct</t>
        </is>
      </c>
      <c r="D54" s="9" t="inlineStr">
        <is>
          <t>Sí</t>
        </is>
      </c>
      <c r="E54" s="9" t="inlineStr">
        <is>
          <t>B · Organismos Oslo</t>
        </is>
      </c>
      <c r="F54" s="9" t="inlineStr">
        <is>
          <t>C</t>
        </is>
      </c>
      <c r="G54" s="9" t="inlineStr">
        <is>
          <t>Organismo</t>
        </is>
      </c>
      <c r="H54" s="9" t="inlineStr">
        <is>
          <t>Oslo</t>
        </is>
      </c>
      <c r="I54" s="10" t="inlineStr">
        <is>
          <t>StartupLab</t>
        </is>
      </c>
      <c r="J54" s="9" t="inlineStr">
        <is>
          <t>hello@startuplab.no</t>
        </is>
      </c>
      <c r="K54" s="9" t="n"/>
      <c r="L54" s="9" t="inlineStr">
        <is>
          <t>Genérico</t>
        </is>
      </c>
      <c r="M54" s="11" t="inlineStr">
        <is>
          <t>put us in touch with startups that might welcome a short visit</t>
        </is>
      </c>
      <c r="N54" s="11" t="inlineStr">
        <is>
          <t>Incubadora y aceleradora</t>
        </is>
      </c>
      <c r="O54" s="11" t="inlineStr">
        <is>
          <t>Startups tecnológicas</t>
        </is>
      </c>
      <c r="P54" s="11" t="inlineStr">
        <is>
          <t>—</t>
        </is>
      </c>
      <c r="Q54" s="12" t="inlineStr">
        <is>
          <t>https://startuplab.no/</t>
        </is>
      </c>
      <c r="R54" s="9" t="inlineStr">
        <is>
          <t>—</t>
        </is>
      </c>
      <c r="S54" s="9" t="inlineStr">
        <is>
          <t>Gaustadalléen 21, 0349 Oslo</t>
        </is>
      </c>
      <c r="T54" s="12" t="inlineStr">
        <is>
          <t>https://startuplab.no/</t>
        </is>
      </c>
      <c r="U54" s="11" t="n"/>
      <c r="V54" s="6" t="inlineStr">
        <is>
          <t>Pendiente</t>
        </is>
      </c>
      <c r="W54" s="7" t="n"/>
      <c r="X54" s="8" t="n"/>
      <c r="Y54" s="6" t="n"/>
    </row>
    <row r="55">
      <c r="A55" s="9" t="n">
        <v>54</v>
      </c>
      <c r="B55" s="9" t="inlineStr">
        <is>
          <t>Docente Oslo</t>
        </is>
      </c>
      <c r="C55" s="9" t="inlineStr">
        <is>
          <t>Jue 22 – vie 23 oct</t>
        </is>
      </c>
      <c r="D55" s="9" t="inlineStr">
        <is>
          <t>Sí</t>
        </is>
      </c>
      <c r="E55" s="9" t="inlineStr">
        <is>
          <t>3 · Universidad</t>
        </is>
      </c>
      <c r="F55" s="9" t="inlineStr">
        <is>
          <t>A</t>
        </is>
      </c>
      <c r="G55" s="9" t="inlineStr">
        <is>
          <t>Universidad</t>
        </is>
      </c>
      <c r="H55" s="9" t="inlineStr">
        <is>
          <t>Oslo</t>
        </is>
      </c>
      <c r="I55" s="10" t="inlineStr">
        <is>
          <t>OsloMet — Facultad de Educación (LUI), internacional</t>
        </is>
      </c>
      <c r="J55" s="9" t="inlineStr">
        <is>
          <t>international-lui@oslomet.no</t>
        </is>
      </c>
      <c r="K55" s="9" t="inlineStr">
        <is>
          <t>lisebakke.brondbo@oslomet.no</t>
        </is>
      </c>
      <c r="L55" s="9" t="inlineStr">
        <is>
          <t>Genérico</t>
        </is>
      </c>
      <c r="M55" s="11" t="inlineStr">
        <is>
          <t>vocational teacher education</t>
        </is>
      </c>
      <c r="N55" s="11" t="inlineStr">
        <is>
          <t>Facultad con el Departamento de Formación del Profesorado de FP (YLU)</t>
        </is>
      </c>
      <c r="O55" s="11" t="inlineStr">
        <is>
          <t>FP y formación de profesorado de FP</t>
        </is>
      </c>
      <c r="P55" s="11" t="inlineStr">
        <is>
          <t>—</t>
        </is>
      </c>
      <c r="Q55" s="12" t="inlineStr">
        <is>
          <t>https://www.oslomet.no/</t>
        </is>
      </c>
      <c r="R55" s="9" t="inlineStr">
        <is>
          <t>+47 67 23 50 00</t>
        </is>
      </c>
      <c r="S55" s="9" t="inlineStr">
        <is>
          <t>Oslo</t>
        </is>
      </c>
      <c r="T55" s="12" t="inlineStr">
        <is>
          <t>https://www.oslomet.no/en/about/lui/ylu</t>
        </is>
      </c>
      <c r="U55" s="11" t="inlineStr">
        <is>
          <t>El encaje más fuerte en contenido (profesorado de FP)</t>
        </is>
      </c>
      <c r="V55" s="6" t="inlineStr">
        <is>
          <t>Pendiente</t>
        </is>
      </c>
      <c r="W55" s="7" t="n"/>
      <c r="X55" s="8" t="n"/>
      <c r="Y55" s="6" t="n"/>
    </row>
    <row r="56">
      <c r="A56" s="9" t="n">
        <v>55</v>
      </c>
      <c r="B56" s="9" t="inlineStr">
        <is>
          <t>Docente Oslo</t>
        </is>
      </c>
      <c r="C56" s="9" t="inlineStr">
        <is>
          <t>Jue 22 – vie 23 oct</t>
        </is>
      </c>
      <c r="D56" s="9" t="inlineStr">
        <is>
          <t>Sí</t>
        </is>
      </c>
      <c r="E56" s="9" t="inlineStr">
        <is>
          <t>3 · Universidad</t>
        </is>
      </c>
      <c r="F56" s="9" t="inlineStr">
        <is>
          <t>A</t>
        </is>
      </c>
      <c r="G56" s="9" t="inlineStr">
        <is>
          <t>Universidad</t>
        </is>
      </c>
      <c r="H56" s="9" t="inlineStr">
        <is>
          <t>Oslo</t>
        </is>
      </c>
      <c r="I56" s="10" t="inlineStr">
        <is>
          <t>UiO — Cooperation in education</t>
        </is>
      </c>
      <c r="J56" s="9" t="inlineStr">
        <is>
          <t>cooperation-edu@uio.no</t>
        </is>
      </c>
      <c r="K56" s="9" t="inlineStr">
        <is>
          <t>post@link.uio.no</t>
        </is>
      </c>
      <c r="L56" s="9" t="inlineStr">
        <is>
          <t>Genérico</t>
        </is>
      </c>
      <c r="M56" s="11" t="inlineStr">
        <is>
          <t>digital learning, online education and teacher development</t>
        </is>
      </c>
      <c r="N56" s="11" t="inlineStr">
        <is>
          <t>Canal central de cooperación educativa de la Universidad de Oslo</t>
        </is>
      </c>
      <c r="O56" s="11" t="inlineStr">
        <is>
          <t>—</t>
        </is>
      </c>
      <c r="P56" s="11" t="inlineStr">
        <is>
          <t>—</t>
        </is>
      </c>
      <c r="Q56" s="12" t="inlineStr">
        <is>
          <t>https://www.uio.no/</t>
        </is>
      </c>
      <c r="R56" s="9" t="inlineStr">
        <is>
          <t>+47 22 85 50 50</t>
        </is>
      </c>
      <c r="S56" s="9" t="inlineStr">
        <is>
          <t>Oslo</t>
        </is>
      </c>
      <c r="T56" s="12" t="inlineStr">
        <is>
          <t>https://www.uio.no/english/about/global/contact.html</t>
        </is>
      </c>
      <c r="U56" s="11" t="inlineStr">
        <is>
          <t>Escribir primero aquí, con copia a LINK</t>
        </is>
      </c>
      <c r="V56" s="6" t="inlineStr">
        <is>
          <t>Pendiente</t>
        </is>
      </c>
      <c r="W56" s="7" t="n"/>
      <c r="X56" s="8" t="n"/>
      <c r="Y56" s="6" t="n"/>
    </row>
    <row r="57">
      <c r="A57" s="13" t="n">
        <v>56</v>
      </c>
      <c r="B57" s="13" t="inlineStr">
        <is>
          <t>Docente Oslo</t>
        </is>
      </c>
      <c r="C57" s="13" t="inlineStr">
        <is>
          <t>Jue 22 – vie 23 oct</t>
        </is>
      </c>
      <c r="D57" s="13" t="inlineStr">
        <is>
          <t>No (va en copia)</t>
        </is>
      </c>
      <c r="E57" s="13" t="inlineStr">
        <is>
          <t>3 · Universidad</t>
        </is>
      </c>
      <c r="F57" s="13" t="inlineStr">
        <is>
          <t>A</t>
        </is>
      </c>
      <c r="G57" s="13" t="inlineStr">
        <is>
          <t>Universidad</t>
        </is>
      </c>
      <c r="H57" s="13" t="inlineStr">
        <is>
          <t>Oslo</t>
        </is>
      </c>
      <c r="I57" s="14" t="inlineStr">
        <is>
          <t>UiO — LINK (Centre for learning, innovation &amp; academic development)</t>
        </is>
      </c>
      <c r="J57" s="13" t="inlineStr">
        <is>
          <t>post@link.uio.no</t>
        </is>
      </c>
      <c r="K57" s="13" t="n"/>
      <c r="L57" s="13" t="inlineStr">
        <is>
          <t>Genérico</t>
        </is>
      </c>
      <c r="M57" s="14" t="inlineStr">
        <is>
          <t>(va en copia del correo a cooperation-edu)</t>
        </is>
      </c>
      <c r="N57" s="14" t="inlineStr">
        <is>
          <t>Aprendizaje digital, innovación docente y desarrollo académico</t>
        </is>
      </c>
      <c r="O57" s="14" t="inlineStr">
        <is>
          <t>Educación online</t>
        </is>
      </c>
      <c r="P57" s="14" t="inlineStr">
        <is>
          <t>—</t>
        </is>
      </c>
      <c r="Q57" s="13" t="inlineStr">
        <is>
          <t>https://www.uio.no/link/</t>
        </is>
      </c>
      <c r="R57" s="13" t="inlineStr">
        <is>
          <t>—</t>
        </is>
      </c>
      <c r="S57" s="13" t="inlineStr">
        <is>
          <t>Oslo</t>
        </is>
      </c>
      <c r="T57" s="13" t="inlineStr">
        <is>
          <t>https://www.uio.no/link/english/about/contact/</t>
        </is>
      </c>
      <c r="U57" s="14" t="inlineStr">
        <is>
          <t>Va en copia del correo anterior (no enviar dos veces)</t>
        </is>
      </c>
      <c r="V57" s="6" t="n"/>
      <c r="W57" s="7" t="n"/>
      <c r="X57" s="8" t="n"/>
      <c r="Y57" s="6" t="n"/>
    </row>
    <row r="58">
      <c r="A58" s="13" t="n">
        <v>57</v>
      </c>
      <c r="B58" s="13" t="inlineStr">
        <is>
          <t>Docente Oslo</t>
        </is>
      </c>
      <c r="C58" s="13" t="inlineStr">
        <is>
          <t>Jue 22 – vie 23 oct</t>
        </is>
      </c>
      <c r="D58" s="13" t="inlineStr">
        <is>
          <t>No (reserva)</t>
        </is>
      </c>
      <c r="E58" s="13" t="inlineStr">
        <is>
          <t>3 · Universidad</t>
        </is>
      </c>
      <c r="F58" s="13" t="inlineStr">
        <is>
          <t>B</t>
        </is>
      </c>
      <c r="G58" s="13" t="inlineStr">
        <is>
          <t>Universidad</t>
        </is>
      </c>
      <c r="H58" s="13" t="inlineStr">
        <is>
          <t>Oslo</t>
        </is>
      </c>
      <c r="I58" s="14" t="inlineStr">
        <is>
          <t>UiO — Facultad de Ciencias de la Educación (UV)</t>
        </is>
      </c>
      <c r="J58" s="13" t="inlineStr">
        <is>
          <t>postmottak@uv.uio.no</t>
        </is>
      </c>
      <c r="K58" s="13" t="n"/>
      <c r="L58" s="13" t="inlineStr">
        <is>
          <t>Genérico</t>
        </is>
      </c>
      <c r="M58" s="14" t="inlineStr">
        <is>
          <t>digital learning, online education and teacher development</t>
        </is>
      </c>
      <c r="N58" s="14" t="inlineStr">
        <is>
          <t>Buzón general de la facultad</t>
        </is>
      </c>
      <c r="O58" s="14" t="inlineStr">
        <is>
          <t>Formación del profesorado</t>
        </is>
      </c>
      <c r="P58" s="14" t="inlineStr">
        <is>
          <t>—</t>
        </is>
      </c>
      <c r="Q58" s="13" t="inlineStr">
        <is>
          <t>https://www.uv.uio.no/</t>
        </is>
      </c>
      <c r="R58" s="13" t="inlineStr">
        <is>
          <t>+47 22 85 50 50</t>
        </is>
      </c>
      <c r="S58" s="13" t="inlineStr">
        <is>
          <t>Oslo</t>
        </is>
      </c>
      <c r="T58" s="13" t="inlineStr">
        <is>
          <t>https://uv.uio.no/english/about/contact/</t>
        </is>
      </c>
      <c r="U58" s="14" t="inlineStr">
        <is>
          <t>RESERVA: no enviar ahora; solo si cooperation-edu no responde</t>
        </is>
      </c>
      <c r="V58" s="6" t="n"/>
      <c r="W58" s="7" t="n"/>
      <c r="X58" s="8" t="n"/>
      <c r="Y58" s="6" t="n"/>
    </row>
    <row r="60">
      <c r="I60" s="15" t="inlineStr">
        <is>
          <t>Resumen</t>
        </is>
      </c>
    </row>
    <row r="61">
      <c r="I61" s="16" t="inlineStr">
        <is>
          <t>Envíos del docente de Drammen</t>
        </is>
      </c>
      <c r="J61" s="17">
        <f>COUNTIFS(B2:B58,"Docente Drammen",D2:D58,"Sí")</f>
        <v/>
      </c>
    </row>
    <row r="62">
      <c r="I62" s="16" t="inlineStr">
        <is>
          <t>Envíos del docente de Oslo</t>
        </is>
      </c>
      <c r="J62" s="17">
        <f>COUNTIFS(B2:B58,"Docente Oslo",D2:D58,"Sí")</f>
        <v/>
      </c>
    </row>
    <row r="63">
      <c r="I63" s="16" t="inlineStr">
        <is>
          <t>Pendiente</t>
        </is>
      </c>
      <c r="J63" s="17">
        <f>COUNTIF(V2:V58,"Pendiente")</f>
        <v/>
      </c>
    </row>
    <row r="64">
      <c r="I64" s="16" t="inlineStr">
        <is>
          <t>Enviado</t>
        </is>
      </c>
      <c r="J64" s="17">
        <f>COUNTIF(V2:V58,"Enviado")</f>
        <v/>
      </c>
    </row>
    <row r="65">
      <c r="I65" s="16" t="inlineStr">
        <is>
          <t>Rebotado</t>
        </is>
      </c>
      <c r="J65" s="17">
        <f>COUNTIF(V2:V58,"Rebotado")</f>
        <v/>
      </c>
    </row>
    <row r="66">
      <c r="I66" s="16" t="inlineStr">
        <is>
          <t>Respondido</t>
        </is>
      </c>
      <c r="J66" s="17">
        <f>COUNTIF(V2:V58,"Respondido")</f>
        <v/>
      </c>
    </row>
    <row r="67">
      <c r="I67" s="16" t="inlineStr">
        <is>
          <t>Visita agendada</t>
        </is>
      </c>
      <c r="J67" s="17">
        <f>COUNTIF(V2:V58,"Visita agendada")</f>
        <v/>
      </c>
    </row>
    <row r="68">
      <c r="I68" s="16" t="inlineStr">
        <is>
          <t>No interesado</t>
        </is>
      </c>
      <c r="J68" s="17">
        <f>COUNTIF(V2:V58,"No interesado")</f>
        <v/>
      </c>
    </row>
    <row r="69">
      <c r="I69" s="16" t="inlineStr">
        <is>
          <t>Recordatorio enviado</t>
        </is>
      </c>
      <c r="J69" s="17">
        <f>COUNTIF(V2:V58,"Recordatorio enviado")</f>
        <v/>
      </c>
    </row>
  </sheetData>
  <autoFilter ref="A1:Y58"/>
  <dataValidations count="1">
    <dataValidation sqref="V2:V58" showDropDown="0" showInputMessage="0" showErrorMessage="0" allowBlank="1" type="list">
      <formula1>"Pendiente,Enviado,Rebotado,Respondido,Visita agendada,No interesado,Recordatorio enviado"</formula1>
    </dataValidation>
  </dataValidations>
  <hyperlinks>
    <hyperlink xmlns:r="http://schemas.openxmlformats.org/officeDocument/2006/relationships" ref="Q2" r:id="rId1"/>
    <hyperlink xmlns:r="http://schemas.openxmlformats.org/officeDocument/2006/relationships" ref="T2" r:id="rId2"/>
    <hyperlink xmlns:r="http://schemas.openxmlformats.org/officeDocument/2006/relationships" ref="Q3" r:id="rId3"/>
    <hyperlink xmlns:r="http://schemas.openxmlformats.org/officeDocument/2006/relationships" ref="T3" r:id="rId4"/>
    <hyperlink xmlns:r="http://schemas.openxmlformats.org/officeDocument/2006/relationships" ref="Q4" r:id="rId5"/>
    <hyperlink xmlns:r="http://schemas.openxmlformats.org/officeDocument/2006/relationships" ref="T4" r:id="rId6"/>
    <hyperlink xmlns:r="http://schemas.openxmlformats.org/officeDocument/2006/relationships" ref="Q5" r:id="rId7"/>
    <hyperlink xmlns:r="http://schemas.openxmlformats.org/officeDocument/2006/relationships" ref="T5" r:id="rId8"/>
    <hyperlink xmlns:r="http://schemas.openxmlformats.org/officeDocument/2006/relationships" ref="Q6" r:id="rId9"/>
    <hyperlink xmlns:r="http://schemas.openxmlformats.org/officeDocument/2006/relationships" ref="T6" r:id="rId10"/>
    <hyperlink xmlns:r="http://schemas.openxmlformats.org/officeDocument/2006/relationships" ref="Q7" r:id="rId11"/>
    <hyperlink xmlns:r="http://schemas.openxmlformats.org/officeDocument/2006/relationships" ref="T7" r:id="rId12"/>
    <hyperlink xmlns:r="http://schemas.openxmlformats.org/officeDocument/2006/relationships" ref="Q8" r:id="rId13"/>
    <hyperlink xmlns:r="http://schemas.openxmlformats.org/officeDocument/2006/relationships" ref="T8" r:id="rId14"/>
    <hyperlink xmlns:r="http://schemas.openxmlformats.org/officeDocument/2006/relationships" ref="Q9" r:id="rId15"/>
    <hyperlink xmlns:r="http://schemas.openxmlformats.org/officeDocument/2006/relationships" ref="T9" r:id="rId16"/>
    <hyperlink xmlns:r="http://schemas.openxmlformats.org/officeDocument/2006/relationships" ref="Q10" r:id="rId17"/>
    <hyperlink xmlns:r="http://schemas.openxmlformats.org/officeDocument/2006/relationships" ref="T10" r:id="rId18"/>
    <hyperlink xmlns:r="http://schemas.openxmlformats.org/officeDocument/2006/relationships" ref="Q11" r:id="rId19"/>
    <hyperlink xmlns:r="http://schemas.openxmlformats.org/officeDocument/2006/relationships" ref="T11" r:id="rId20"/>
    <hyperlink xmlns:r="http://schemas.openxmlformats.org/officeDocument/2006/relationships" ref="Q12" r:id="rId21"/>
    <hyperlink xmlns:r="http://schemas.openxmlformats.org/officeDocument/2006/relationships" ref="T12" r:id="rId22"/>
    <hyperlink xmlns:r="http://schemas.openxmlformats.org/officeDocument/2006/relationships" ref="Q13" r:id="rId23"/>
    <hyperlink xmlns:r="http://schemas.openxmlformats.org/officeDocument/2006/relationships" ref="T13" r:id="rId24"/>
    <hyperlink xmlns:r="http://schemas.openxmlformats.org/officeDocument/2006/relationships" ref="Q14" r:id="rId25"/>
    <hyperlink xmlns:r="http://schemas.openxmlformats.org/officeDocument/2006/relationships" ref="T14" r:id="rId26"/>
    <hyperlink xmlns:r="http://schemas.openxmlformats.org/officeDocument/2006/relationships" ref="Q15" r:id="rId27"/>
    <hyperlink xmlns:r="http://schemas.openxmlformats.org/officeDocument/2006/relationships" ref="T15" r:id="rId28"/>
    <hyperlink xmlns:r="http://schemas.openxmlformats.org/officeDocument/2006/relationships" ref="Q16" r:id="rId29"/>
    <hyperlink xmlns:r="http://schemas.openxmlformats.org/officeDocument/2006/relationships" ref="T16" r:id="rId30"/>
    <hyperlink xmlns:r="http://schemas.openxmlformats.org/officeDocument/2006/relationships" ref="Q17" r:id="rId31"/>
    <hyperlink xmlns:r="http://schemas.openxmlformats.org/officeDocument/2006/relationships" ref="T17" r:id="rId32"/>
    <hyperlink xmlns:r="http://schemas.openxmlformats.org/officeDocument/2006/relationships" ref="Q18" r:id="rId33"/>
    <hyperlink xmlns:r="http://schemas.openxmlformats.org/officeDocument/2006/relationships" ref="T18" r:id="rId34"/>
    <hyperlink xmlns:r="http://schemas.openxmlformats.org/officeDocument/2006/relationships" ref="Q19" r:id="rId35"/>
    <hyperlink xmlns:r="http://schemas.openxmlformats.org/officeDocument/2006/relationships" ref="T19" r:id="rId36"/>
    <hyperlink xmlns:r="http://schemas.openxmlformats.org/officeDocument/2006/relationships" ref="Q20" r:id="rId37"/>
    <hyperlink xmlns:r="http://schemas.openxmlformats.org/officeDocument/2006/relationships" ref="T20" r:id="rId38"/>
    <hyperlink xmlns:r="http://schemas.openxmlformats.org/officeDocument/2006/relationships" ref="Q21" r:id="rId39"/>
    <hyperlink xmlns:r="http://schemas.openxmlformats.org/officeDocument/2006/relationships" ref="T21" r:id="rId40"/>
    <hyperlink xmlns:r="http://schemas.openxmlformats.org/officeDocument/2006/relationships" ref="Q22" r:id="rId41"/>
    <hyperlink xmlns:r="http://schemas.openxmlformats.org/officeDocument/2006/relationships" ref="T22" r:id="rId42"/>
    <hyperlink xmlns:r="http://schemas.openxmlformats.org/officeDocument/2006/relationships" ref="Q23" r:id="rId43"/>
    <hyperlink xmlns:r="http://schemas.openxmlformats.org/officeDocument/2006/relationships" ref="T23" r:id="rId44"/>
    <hyperlink xmlns:r="http://schemas.openxmlformats.org/officeDocument/2006/relationships" ref="Q24" r:id="rId45"/>
    <hyperlink xmlns:r="http://schemas.openxmlformats.org/officeDocument/2006/relationships" ref="T24" r:id="rId46"/>
    <hyperlink xmlns:r="http://schemas.openxmlformats.org/officeDocument/2006/relationships" ref="Q25" r:id="rId47"/>
    <hyperlink xmlns:r="http://schemas.openxmlformats.org/officeDocument/2006/relationships" ref="T25" r:id="rId48"/>
    <hyperlink xmlns:r="http://schemas.openxmlformats.org/officeDocument/2006/relationships" ref="Q26" r:id="rId49"/>
    <hyperlink xmlns:r="http://schemas.openxmlformats.org/officeDocument/2006/relationships" ref="T26" r:id="rId50"/>
    <hyperlink xmlns:r="http://schemas.openxmlformats.org/officeDocument/2006/relationships" ref="Q27" r:id="rId51"/>
    <hyperlink xmlns:r="http://schemas.openxmlformats.org/officeDocument/2006/relationships" ref="T27" r:id="rId52"/>
    <hyperlink xmlns:r="http://schemas.openxmlformats.org/officeDocument/2006/relationships" ref="Q28" r:id="rId53"/>
    <hyperlink xmlns:r="http://schemas.openxmlformats.org/officeDocument/2006/relationships" ref="T28" r:id="rId54"/>
    <hyperlink xmlns:r="http://schemas.openxmlformats.org/officeDocument/2006/relationships" ref="Q29" r:id="rId55"/>
    <hyperlink xmlns:r="http://schemas.openxmlformats.org/officeDocument/2006/relationships" ref="T29" r:id="rId56"/>
    <hyperlink xmlns:r="http://schemas.openxmlformats.org/officeDocument/2006/relationships" ref="Q30" r:id="rId57"/>
    <hyperlink xmlns:r="http://schemas.openxmlformats.org/officeDocument/2006/relationships" ref="T30" r:id="rId58"/>
    <hyperlink xmlns:r="http://schemas.openxmlformats.org/officeDocument/2006/relationships" ref="Q31" r:id="rId59"/>
    <hyperlink xmlns:r="http://schemas.openxmlformats.org/officeDocument/2006/relationships" ref="T31" r:id="rId60"/>
    <hyperlink xmlns:r="http://schemas.openxmlformats.org/officeDocument/2006/relationships" ref="Q32" r:id="rId61"/>
    <hyperlink xmlns:r="http://schemas.openxmlformats.org/officeDocument/2006/relationships" ref="T32" r:id="rId62"/>
    <hyperlink xmlns:r="http://schemas.openxmlformats.org/officeDocument/2006/relationships" ref="Q33" r:id="rId63"/>
    <hyperlink xmlns:r="http://schemas.openxmlformats.org/officeDocument/2006/relationships" ref="T33" r:id="rId64"/>
    <hyperlink xmlns:r="http://schemas.openxmlformats.org/officeDocument/2006/relationships" ref="Q34" r:id="rId65"/>
    <hyperlink xmlns:r="http://schemas.openxmlformats.org/officeDocument/2006/relationships" ref="T34" r:id="rId66"/>
    <hyperlink xmlns:r="http://schemas.openxmlformats.org/officeDocument/2006/relationships" ref="Q35" r:id="rId67"/>
    <hyperlink xmlns:r="http://schemas.openxmlformats.org/officeDocument/2006/relationships" ref="T35" r:id="rId68"/>
    <hyperlink xmlns:r="http://schemas.openxmlformats.org/officeDocument/2006/relationships" ref="Q36" r:id="rId69"/>
    <hyperlink xmlns:r="http://schemas.openxmlformats.org/officeDocument/2006/relationships" ref="T36" r:id="rId70"/>
    <hyperlink xmlns:r="http://schemas.openxmlformats.org/officeDocument/2006/relationships" ref="Q37" r:id="rId71"/>
    <hyperlink xmlns:r="http://schemas.openxmlformats.org/officeDocument/2006/relationships" ref="T37" r:id="rId72"/>
    <hyperlink xmlns:r="http://schemas.openxmlformats.org/officeDocument/2006/relationships" ref="Q38" r:id="rId73"/>
    <hyperlink xmlns:r="http://schemas.openxmlformats.org/officeDocument/2006/relationships" ref="T38" r:id="rId74"/>
    <hyperlink xmlns:r="http://schemas.openxmlformats.org/officeDocument/2006/relationships" ref="Q39" r:id="rId75"/>
    <hyperlink xmlns:r="http://schemas.openxmlformats.org/officeDocument/2006/relationships" ref="T39" r:id="rId76"/>
    <hyperlink xmlns:r="http://schemas.openxmlformats.org/officeDocument/2006/relationships" ref="Q40" r:id="rId77"/>
    <hyperlink xmlns:r="http://schemas.openxmlformats.org/officeDocument/2006/relationships" ref="T40" r:id="rId78"/>
    <hyperlink xmlns:r="http://schemas.openxmlformats.org/officeDocument/2006/relationships" ref="Q41" r:id="rId79"/>
    <hyperlink xmlns:r="http://schemas.openxmlformats.org/officeDocument/2006/relationships" ref="T41" r:id="rId80"/>
    <hyperlink xmlns:r="http://schemas.openxmlformats.org/officeDocument/2006/relationships" ref="Q42" r:id="rId81"/>
    <hyperlink xmlns:r="http://schemas.openxmlformats.org/officeDocument/2006/relationships" ref="T42" r:id="rId82"/>
    <hyperlink xmlns:r="http://schemas.openxmlformats.org/officeDocument/2006/relationships" ref="Q43" r:id="rId83"/>
    <hyperlink xmlns:r="http://schemas.openxmlformats.org/officeDocument/2006/relationships" ref="T43" r:id="rId84"/>
    <hyperlink xmlns:r="http://schemas.openxmlformats.org/officeDocument/2006/relationships" ref="Q44" r:id="rId85"/>
    <hyperlink xmlns:r="http://schemas.openxmlformats.org/officeDocument/2006/relationships" ref="T44" r:id="rId86"/>
    <hyperlink xmlns:r="http://schemas.openxmlformats.org/officeDocument/2006/relationships" ref="Q45" r:id="rId87"/>
    <hyperlink xmlns:r="http://schemas.openxmlformats.org/officeDocument/2006/relationships" ref="T45" r:id="rId88"/>
    <hyperlink xmlns:r="http://schemas.openxmlformats.org/officeDocument/2006/relationships" ref="Q46" r:id="rId89"/>
    <hyperlink xmlns:r="http://schemas.openxmlformats.org/officeDocument/2006/relationships" ref="T46" r:id="rId90"/>
    <hyperlink xmlns:r="http://schemas.openxmlformats.org/officeDocument/2006/relationships" ref="Q47" r:id="rId91"/>
    <hyperlink xmlns:r="http://schemas.openxmlformats.org/officeDocument/2006/relationships" ref="T47" r:id="rId92"/>
    <hyperlink xmlns:r="http://schemas.openxmlformats.org/officeDocument/2006/relationships" ref="Q48" r:id="rId93"/>
    <hyperlink xmlns:r="http://schemas.openxmlformats.org/officeDocument/2006/relationships" ref="T48" r:id="rId94"/>
    <hyperlink xmlns:r="http://schemas.openxmlformats.org/officeDocument/2006/relationships" ref="Q49" r:id="rId95"/>
    <hyperlink xmlns:r="http://schemas.openxmlformats.org/officeDocument/2006/relationships" ref="T49" r:id="rId96"/>
    <hyperlink xmlns:r="http://schemas.openxmlformats.org/officeDocument/2006/relationships" ref="Q50" r:id="rId97"/>
    <hyperlink xmlns:r="http://schemas.openxmlformats.org/officeDocument/2006/relationships" ref="T50" r:id="rId98"/>
    <hyperlink xmlns:r="http://schemas.openxmlformats.org/officeDocument/2006/relationships" ref="Q51" r:id="rId99"/>
    <hyperlink xmlns:r="http://schemas.openxmlformats.org/officeDocument/2006/relationships" ref="T51" r:id="rId100"/>
    <hyperlink xmlns:r="http://schemas.openxmlformats.org/officeDocument/2006/relationships" ref="Q52" r:id="rId101"/>
    <hyperlink xmlns:r="http://schemas.openxmlformats.org/officeDocument/2006/relationships" ref="T52" r:id="rId102"/>
    <hyperlink xmlns:r="http://schemas.openxmlformats.org/officeDocument/2006/relationships" ref="Q53" r:id="rId103"/>
    <hyperlink xmlns:r="http://schemas.openxmlformats.org/officeDocument/2006/relationships" ref="T53" r:id="rId104"/>
    <hyperlink xmlns:r="http://schemas.openxmlformats.org/officeDocument/2006/relationships" ref="Q54" r:id="rId105"/>
    <hyperlink xmlns:r="http://schemas.openxmlformats.org/officeDocument/2006/relationships" ref="T54" r:id="rId106"/>
    <hyperlink xmlns:r="http://schemas.openxmlformats.org/officeDocument/2006/relationships" ref="Q55" r:id="rId107"/>
    <hyperlink xmlns:r="http://schemas.openxmlformats.org/officeDocument/2006/relationships" ref="T55" r:id="rId108"/>
    <hyperlink xmlns:r="http://schemas.openxmlformats.org/officeDocument/2006/relationships" ref="Q56" r:id="rId109"/>
    <hyperlink xmlns:r="http://schemas.openxmlformats.org/officeDocument/2006/relationships" ref="T56" r:id="rId110"/>
    <hyperlink xmlns:r="http://schemas.openxmlformats.org/officeDocument/2006/relationships" ref="Q57" r:id="rId111"/>
    <hyperlink xmlns:r="http://schemas.openxmlformats.org/officeDocument/2006/relationships" ref="T57" r:id="rId112"/>
    <hyperlink xmlns:r="http://schemas.openxmlformats.org/officeDocument/2006/relationships" ref="Q58" r:id="rId113"/>
    <hyperlink xmlns:r="http://schemas.openxmlformats.org/officeDocument/2006/relationships" ref="T58" r:id="rId1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1" customWidth="1" min="3" max="3"/>
    <col width="26" customWidth="1" min="4" max="4"/>
    <col width="16" customWidth="1" min="5" max="5"/>
    <col width="52" customWidth="1" min="6" max="6"/>
    <col width="40" customWidth="1" min="7" max="7"/>
    <col width="34" customWidth="1" min="8" max="8"/>
    <col width="34" customWidth="1" min="9" max="9"/>
  </cols>
  <sheetData>
    <row r="1">
      <c r="A1" s="18" t="inlineStr">
        <is>
          <t>Responsable</t>
        </is>
      </c>
      <c r="B1" s="18" t="inlineStr">
        <is>
          <t>Prioridad</t>
        </is>
      </c>
      <c r="C1" s="18" t="inlineStr">
        <is>
          <t>Ciudad</t>
        </is>
      </c>
      <c r="D1" s="18" t="inlineStr">
        <is>
          <t>Empresa</t>
        </is>
      </c>
      <c r="E1" s="18" t="inlineStr">
        <is>
          <t>Teléfono</t>
        </is>
      </c>
      <c r="F1" s="18" t="inlineStr">
        <is>
          <t>Por qué</t>
        </is>
      </c>
      <c r="G1" s="18" t="inlineStr">
        <is>
          <t>Fuente / formulario</t>
        </is>
      </c>
      <c r="H1" s="18" t="inlineStr">
        <is>
          <t>Notas</t>
        </is>
      </c>
      <c r="I1" s="18" t="inlineStr">
        <is>
          <t>Resultado de la llamada</t>
        </is>
      </c>
    </row>
    <row r="2">
      <c r="A2" s="4" t="inlineStr">
        <is>
          <t>Docente Drammen</t>
        </is>
      </c>
      <c r="B2" s="4" t="inlineStr">
        <is>
          <t>A</t>
        </is>
      </c>
      <c r="C2" s="4" t="inlineStr">
        <is>
          <t>Drammen</t>
        </is>
      </c>
      <c r="D2" s="4" t="inlineStr">
        <is>
          <t>Bit for Bit AS</t>
        </is>
      </c>
      <c r="E2" s="4" t="inlineStr">
        <is>
          <t>90 40 00 04</t>
        </is>
      </c>
      <c r="F2" s="4" t="inlineStr">
        <is>
          <t>Consultoría TI (31–33 empl.); aprobada para aprendices de IT-utvikler</t>
        </is>
      </c>
      <c r="G2" s="19" t="inlineStr">
        <is>
          <t>https://www.1881.no/</t>
        </is>
      </c>
      <c r="H2" s="4" t="inlineStr">
        <is>
          <t>No usar post@bits.no (es otra empresa)</t>
        </is>
      </c>
      <c r="I2" s="8" t="n"/>
    </row>
    <row r="3">
      <c r="A3" s="4" t="inlineStr">
        <is>
          <t>Docente Drammen</t>
        </is>
      </c>
      <c r="B3" s="4" t="inlineStr">
        <is>
          <t>A</t>
        </is>
      </c>
      <c r="C3" s="4" t="inlineStr">
        <is>
          <t>Kongsberg</t>
        </is>
      </c>
      <c r="D3" s="4" t="inlineStr">
        <is>
          <t>Lifetools AS</t>
        </is>
      </c>
      <c r="E3" s="4" t="inlineStr">
        <is>
          <t>90 09 82 89</t>
        </is>
      </c>
      <c r="F3" s="4" t="inlineStr">
        <is>
          <t>Software web con PHP/Laravel, Vue, apps y AWS: el stack más parecido a DAW</t>
        </is>
      </c>
      <c r="G3" s="19" t="inlineStr">
        <is>
          <t>https://www.finn.no/452789601</t>
        </is>
      </c>
      <c r="H3" s="4" t="inlineStr">
        <is>
          <t>Teléfono del anuncio de empleo</t>
        </is>
      </c>
      <c r="I3" s="8" t="n"/>
    </row>
    <row r="4">
      <c r="A4" s="4" t="inlineStr">
        <is>
          <t>Docente Drammen</t>
        </is>
      </c>
      <c r="B4" s="4" t="inlineStr">
        <is>
          <t>B</t>
        </is>
      </c>
      <c r="C4" s="4" t="inlineStr">
        <is>
          <t>Asker</t>
        </is>
      </c>
      <c r="D4" s="4" t="inlineStr">
        <is>
          <t>Admindata AS</t>
        </is>
      </c>
      <c r="E4" s="4" t="inlineStr">
        <is>
          <t>91 34 15 16</t>
        </is>
      </c>
      <c r="F4" s="4" t="inlineStr">
        <is>
          <t>Consultoría de desarrollo de software</t>
        </is>
      </c>
      <c r="G4" s="19" t="inlineStr">
        <is>
          <t>https://www.1881.no/</t>
        </is>
      </c>
      <c r="H4" s="4" t="inlineStr">
        <is>
          <t>Petra Fougners vei 19</t>
        </is>
      </c>
      <c r="I4" s="8" t="n"/>
    </row>
    <row r="5">
      <c r="A5" s="4" t="inlineStr">
        <is>
          <t>Docente Drammen</t>
        </is>
      </c>
      <c r="B5" s="4" t="inlineStr">
        <is>
          <t>B</t>
        </is>
      </c>
      <c r="C5" s="4" t="inlineStr">
        <is>
          <t>Drammen</t>
        </is>
      </c>
      <c r="D5" s="4" t="inlineStr">
        <is>
          <t>Fishwell Technology AS</t>
        </is>
      </c>
      <c r="E5" s="4" t="inlineStr">
        <is>
          <t>32 80 00 90</t>
        </is>
      </c>
      <c r="F5" s="4" t="inlineStr">
        <is>
          <t>Software de IA para acuicultura (~8 empl.)</t>
        </is>
      </c>
      <c r="G5" s="19" t="inlineStr">
        <is>
          <t>https://www.1881.no/</t>
        </is>
      </c>
      <c r="H5" s="4" t="inlineStr">
        <is>
          <t>Gesellveien 3</t>
        </is>
      </c>
      <c r="I5" s="8" t="n"/>
    </row>
    <row r="6">
      <c r="A6" s="4" t="inlineStr">
        <is>
          <t>Docente Drammen</t>
        </is>
      </c>
      <c r="B6" s="4" t="inlineStr">
        <is>
          <t>B</t>
        </is>
      </c>
      <c r="C6" s="4" t="inlineStr">
        <is>
          <t>Kongsberg</t>
        </is>
      </c>
      <c r="D6" s="4" t="inlineStr">
        <is>
          <t>Flatirons Norge AS</t>
        </is>
      </c>
      <c r="E6" s="4" t="inlineStr">
        <is>
          <t>32 71 72 00</t>
        </is>
      </c>
      <c r="F6" s="4" t="inlineStr">
        <is>
          <t>Software y servicios EDB</t>
        </is>
      </c>
      <c r="G6" s="19" t="inlineStr">
        <is>
          <t>https://www.1881.no/</t>
        </is>
      </c>
      <c r="H6" s="4" t="inlineStr">
        <is>
          <t>Dyrmyrgata 35</t>
        </is>
      </c>
      <c r="I6" s="8" t="n"/>
    </row>
    <row r="7">
      <c r="A7" s="4" t="inlineStr">
        <is>
          <t>Docente Drammen</t>
        </is>
      </c>
      <c r="B7" s="4" t="inlineStr">
        <is>
          <t>C</t>
        </is>
      </c>
      <c r="C7" s="4" t="inlineStr">
        <is>
          <t>Drammen</t>
        </is>
      </c>
      <c r="D7" s="4" t="inlineStr">
        <is>
          <t>Atea AS avd. Drammen</t>
        </is>
      </c>
      <c r="E7" s="4" t="inlineStr">
        <is>
          <t>22 09 50 00</t>
        </is>
      </c>
      <c r="F7" s="4" t="inlineStr">
        <is>
          <t>Infraestructura TI; empresa de aprendices de dataelektroniker</t>
        </is>
      </c>
      <c r="G7" s="19" t="inlineStr">
        <is>
          <t>https://www.atea.no/</t>
        </is>
      </c>
      <c r="H7" s="4" t="inlineStr">
        <is>
          <t>Sin correo publicado; Grønland 61</t>
        </is>
      </c>
      <c r="I7" s="8" t="n"/>
    </row>
    <row r="8">
      <c r="A8" s="11" t="inlineStr">
        <is>
          <t>Docente Oslo</t>
        </is>
      </c>
      <c r="B8" s="11" t="inlineStr">
        <is>
          <t>A</t>
        </is>
      </c>
      <c r="C8" s="11" t="inlineStr">
        <is>
          <t>Oslo</t>
        </is>
      </c>
      <c r="D8" s="11" t="inlineStr">
        <is>
          <t>Dekode Interaktiv AS</t>
        </is>
      </c>
      <c r="E8" s="11" t="inlineStr">
        <is>
          <t>45 81 02 00</t>
        </is>
      </c>
      <c r="F8" s="11" t="inlineStr">
        <is>
          <t>Agencia WordPress (29 empl.): encaje alto con DAW</t>
        </is>
      </c>
      <c r="G8" s="20" t="inlineStr">
        <is>
          <t>https://www.1881.no/data-programvare-og-utvikling/data-programvare-og-utvikling-oslo/data-programvare-og-utvikling-oslo-sentrum/dekode-interaktiv-as_103161950S1/</t>
        </is>
      </c>
      <c r="H8" s="11" t="inlineStr">
        <is>
          <t>Su web no se pudo leer: mirar a mano si publica correo</t>
        </is>
      </c>
      <c r="I8" s="8" t="n"/>
    </row>
    <row r="9">
      <c r="A9" s="11" t="inlineStr">
        <is>
          <t>Docente Oslo</t>
        </is>
      </c>
      <c r="B9" s="11" t="inlineStr">
        <is>
          <t>A</t>
        </is>
      </c>
      <c r="C9" s="11" t="inlineStr">
        <is>
          <t>Oslo</t>
        </is>
      </c>
      <c r="D9" s="11" t="inlineStr">
        <is>
          <t>Konstant AS</t>
        </is>
      </c>
      <c r="E9" s="11" t="inlineStr">
        <is>
          <t>—</t>
        </is>
      </c>
      <c r="F9" s="11" t="inlineStr">
        <is>
          <t>Web a medida con Drupal, PHP y React</t>
        </is>
      </c>
      <c r="G9" s="20" t="inlineStr">
        <is>
          <t>https://konstant.no/</t>
        </is>
      </c>
      <c r="H9" s="11" t="inlineStr">
        <is>
          <t>Web no accesible desde la investigación: mirar a mano</t>
        </is>
      </c>
      <c r="I9" s="8" t="n"/>
    </row>
    <row r="10">
      <c r="A10" s="11" t="inlineStr">
        <is>
          <t>Docente Oslo</t>
        </is>
      </c>
      <c r="B10" s="11" t="inlineStr">
        <is>
          <t>B</t>
        </is>
      </c>
      <c r="C10" s="11" t="inlineStr">
        <is>
          <t>Oslo</t>
        </is>
      </c>
      <c r="D10" s="11" t="inlineStr">
        <is>
          <t>Capgemini Norge</t>
        </is>
      </c>
      <c r="E10" s="11" t="inlineStr">
        <is>
          <t>+47 23 50 81 00</t>
        </is>
      </c>
      <c r="F10" s="11" t="inlineStr">
        <is>
          <t>Consultora IT</t>
        </is>
      </c>
      <c r="G10" s="20" t="inlineStr">
        <is>
          <t>https://www.capgemini.com/no-no/contact-us/</t>
        </is>
      </c>
      <c r="H10" s="11" t="inlineStr">
        <is>
          <t>Solo formulario</t>
        </is>
      </c>
      <c r="I10" s="8" t="n"/>
    </row>
    <row r="11">
      <c r="A11" s="11" t="inlineStr">
        <is>
          <t>Docente Oslo</t>
        </is>
      </c>
      <c r="B11" s="11" t="inlineStr">
        <is>
          <t>B</t>
        </is>
      </c>
      <c r="C11" s="11" t="inlineStr">
        <is>
          <t>Oslo</t>
        </is>
      </c>
      <c r="D11" s="11" t="inlineStr">
        <is>
          <t>Metronet Norge</t>
        </is>
      </c>
      <c r="E11" s="11" t="inlineStr">
        <is>
          <t>+47 23 89 75 85 (sin verificar)</t>
        </is>
      </c>
      <c r="F11" s="11" t="inlineStr">
        <is>
          <t>Socio de Silverstripe (PHP)</t>
        </is>
      </c>
      <c r="G11" s="20" t="inlineStr">
        <is>
          <t>https://metronet.no/</t>
        </is>
      </c>
      <c r="H11" s="11" t="inlineStr">
        <is>
          <t>Sin web ni correo verificados</t>
        </is>
      </c>
      <c r="I11" s="8" t="n"/>
    </row>
    <row r="12">
      <c r="A12" s="11" t="inlineStr">
        <is>
          <t>Docente Oslo</t>
        </is>
      </c>
      <c r="B12" s="11" t="inlineStr">
        <is>
          <t>C</t>
        </is>
      </c>
      <c r="C12" s="11" t="inlineStr">
        <is>
          <t>Oslo</t>
        </is>
      </c>
      <c r="D12" s="11" t="inlineStr">
        <is>
          <t>Stratema</t>
        </is>
      </c>
      <c r="E12" s="11" t="inlineStr">
        <is>
          <t>—</t>
        </is>
      </c>
      <c r="F12" s="11" t="inlineStr">
        <is>
          <t>Consultora con becarios en Oslo</t>
        </is>
      </c>
      <c r="G12" s="20" t="inlineStr">
        <is>
          <t>https://www.stratema.com/kontakt/</t>
        </is>
      </c>
      <c r="H12" s="11" t="inlineStr">
        <is>
          <t>Solo formulario</t>
        </is>
      </c>
      <c r="I12" s="8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1" t="inlineStr">
        <is>
          <t>Cómo usar esta hoja</t>
        </is>
      </c>
      <c r="B1" s="22" t="inlineStr"/>
    </row>
    <row r="2">
      <c r="A2" s="15" t="inlineStr"/>
      <c r="B2" s="22" t="inlineStr"/>
    </row>
    <row r="3">
      <c r="A3" s="15" t="inlineStr">
        <is>
          <t>Reparto</t>
        </is>
      </c>
      <c r="B3" s="22" t="inlineStr">
        <is>
          <t>Dos docentes envían a la vez el miércoles 14. Docente Drammen: empresas y organismos de Drammen y Kongsberg y la USN (visitas el martes 20 y el miércoles 21; fondo azul). Docente Oslo: empresas, organismos y universidades de Oslo (visitas el jueves 22 y el viernes 23; fondo naranja).</t>
        </is>
      </c>
    </row>
    <row r="4">
      <c r="A4" s="15" t="inlineStr">
        <is>
          <t>Enviar ahora</t>
        </is>
      </c>
      <c r="B4" s="22" t="inlineStr">
        <is>
          <t>«No» = va en copia de otro correo (LINK) o es una dirección de reserva (UV). Esas filas salen en gris.</t>
        </is>
      </c>
    </row>
    <row r="5">
      <c r="A5" s="15" t="inlineStr">
        <is>
          <t>Correo a usar</t>
        </is>
      </c>
      <c r="B5" s="22" t="inlineStr">
        <is>
          <t>1 = empresas de Drammen · 2 = empresas de Oslo · B = organismos · 3 = universidad. Los textos están en campana-correos-octubre-2026.md.</t>
        </is>
      </c>
    </row>
    <row r="6">
      <c r="A6" s="15" t="inlineStr">
        <is>
          <t>Personalización / tema</t>
        </is>
      </c>
      <c r="B6" s="22" t="inlineStr">
        <is>
          <t>Tema para preparar la visita o la llamada. Los correos son genéricos y no lo usan; en las universidades es el [ÁREA] del correo 3.</t>
        </is>
      </c>
    </row>
    <row r="7">
      <c r="A7" s="15" t="inlineStr">
        <is>
          <t>Prioridad</t>
        </is>
      </c>
      <c r="B7" s="22" t="inlineStr">
        <is>
          <t>A = aprendices de IT confirmados, stack cercano a DAW o contacto clave · B = buen encaje · C = baja probabilidad.</t>
        </is>
      </c>
    </row>
    <row r="8">
      <c r="A8" s="15" t="inlineStr">
        <is>
          <t>Columnas amarillas</t>
        </is>
      </c>
      <c r="B8" s="22" t="inlineStr">
        <is>
          <t>Para rellenar durante la campaña: estado, fecha de envío, respuesta y visita.</t>
        </is>
      </c>
    </row>
    <row r="9">
      <c r="A9" s="15" t="inlineStr">
        <is>
          <t>Hoja compartida</t>
        </is>
      </c>
      <c r="B9" s="22" t="inlineStr">
        <is>
          <t>Subidla a Drive u OneDrive para que los dos anotéis en la misma.</t>
        </is>
      </c>
    </row>
    <row r="10">
      <c r="A10" s="15" t="inlineStr">
        <is>
          <t>Correos</t>
        </is>
      </c>
      <c r="B10" s="22" t="inlineStr">
        <is>
          <t>Todos están publicados en la web de la organización o en un directorio empresarial (columna Fuente). Ninguno está deducido. Verificados el 13/10/2026; no se ha probado la entrega.</t>
        </is>
      </c>
    </row>
    <row r="11">
      <c r="A11" s="15" t="inlineStr">
        <is>
          <t>Correos de personas</t>
        </is>
      </c>
      <c r="B11" s="22" t="inlineStr">
        <is>
          <t>Solo cuando la organización los publica como contacto de la oficina o de esa función.</t>
        </is>
      </c>
    </row>
    <row r="12">
      <c r="A12" s="15" t="inlineStr">
        <is>
          <t>Envío</t>
        </is>
      </c>
      <c r="B12" s="22" t="inlineStr">
        <is>
          <t>Uno a uno o con combinación de correspondencia (cada correo con un único destinatario). Nunca en copia oculta masiva.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2026-10-14T14:36:58Z</dcterms:created>
  <dcterms:modified xsi:type="dcterms:W3CDTF">2026-10-14T14:36:58Z</dcterms:modified>
</cp:coreProperties>
</file>